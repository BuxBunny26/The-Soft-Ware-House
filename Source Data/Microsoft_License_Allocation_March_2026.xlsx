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dhi\Downloads\"/>
    </mc:Choice>
  </mc:AlternateContent>
  <xr:revisionPtr revIDLastSave="0" documentId="13_ncr:1_{9DD68631-D39A-4F17-9D00-8242FEF9C63A}" xr6:coauthVersionLast="47" xr6:coauthVersionMax="47" xr10:uidLastSave="{00000000-0000-0000-0000-000000000000}"/>
  <bookViews>
    <workbookView xWindow="-51720" yWindow="-3120" windowWidth="51840" windowHeight="21120" activeTab="7" xr2:uid="{00000000-000D-0000-FFFF-FFFF00000000}"/>
  </bookViews>
  <sheets>
    <sheet name="Read Me" sheetId="1" r:id="rId1"/>
    <sheet name="Division_Summary" sheetId="2" r:id="rId2"/>
    <sheet name="SKU_Cost_Input" sheetId="3" r:id="rId3"/>
    <sheet name="User_Match" sheetId="4" r:id="rId4"/>
    <sheet name="Allocation_Detail" sheetId="5" r:id="rId5"/>
    <sheet name="Review_Queue" sheetId="6" r:id="rId6"/>
    <sheet name="Employee_Master" sheetId="7" r:id="rId7"/>
    <sheet name="License_Raw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6" i="5" l="1"/>
  <c r="K406" i="5" s="1"/>
  <c r="L406" i="5" s="1"/>
  <c r="I406" i="5"/>
  <c r="J405" i="5"/>
  <c r="K405" i="5" s="1"/>
  <c r="L405" i="5" s="1"/>
  <c r="I405" i="5"/>
  <c r="J404" i="5"/>
  <c r="K404" i="5" s="1"/>
  <c r="L404" i="5" s="1"/>
  <c r="I404" i="5"/>
  <c r="J403" i="5"/>
  <c r="K403" i="5" s="1"/>
  <c r="L403" i="5" s="1"/>
  <c r="I403" i="5"/>
  <c r="J402" i="5"/>
  <c r="K402" i="5" s="1"/>
  <c r="L402" i="5" s="1"/>
  <c r="I402" i="5"/>
  <c r="J401" i="5"/>
  <c r="K401" i="5" s="1"/>
  <c r="L401" i="5" s="1"/>
  <c r="I401" i="5"/>
  <c r="J400" i="5"/>
  <c r="K400" i="5" s="1"/>
  <c r="L400" i="5" s="1"/>
  <c r="I400" i="5"/>
  <c r="J399" i="5"/>
  <c r="K399" i="5" s="1"/>
  <c r="L399" i="5" s="1"/>
  <c r="I399" i="5"/>
  <c r="J398" i="5"/>
  <c r="K398" i="5" s="1"/>
  <c r="L398" i="5" s="1"/>
  <c r="I398" i="5"/>
  <c r="J397" i="5"/>
  <c r="K397" i="5" s="1"/>
  <c r="L397" i="5" s="1"/>
  <c r="I397" i="5"/>
  <c r="J396" i="5"/>
  <c r="K396" i="5" s="1"/>
  <c r="L396" i="5" s="1"/>
  <c r="I396" i="5"/>
  <c r="J395" i="5"/>
  <c r="K395" i="5" s="1"/>
  <c r="L395" i="5" s="1"/>
  <c r="I395" i="5"/>
  <c r="J394" i="5"/>
  <c r="K394" i="5" s="1"/>
  <c r="L394" i="5" s="1"/>
  <c r="I394" i="5"/>
  <c r="J393" i="5"/>
  <c r="K393" i="5" s="1"/>
  <c r="L393" i="5" s="1"/>
  <c r="I393" i="5"/>
  <c r="J392" i="5"/>
  <c r="K392" i="5" s="1"/>
  <c r="L392" i="5" s="1"/>
  <c r="I392" i="5"/>
  <c r="J391" i="5"/>
  <c r="K391" i="5" s="1"/>
  <c r="L391" i="5" s="1"/>
  <c r="I391" i="5"/>
  <c r="J390" i="5"/>
  <c r="K390" i="5" s="1"/>
  <c r="L390" i="5" s="1"/>
  <c r="I390" i="5"/>
  <c r="J389" i="5"/>
  <c r="K389" i="5" s="1"/>
  <c r="L389" i="5" s="1"/>
  <c r="I389" i="5"/>
  <c r="J388" i="5"/>
  <c r="K388" i="5" s="1"/>
  <c r="L388" i="5" s="1"/>
  <c r="I388" i="5"/>
  <c r="J387" i="5"/>
  <c r="K387" i="5" s="1"/>
  <c r="L387" i="5" s="1"/>
  <c r="I387" i="5"/>
  <c r="J386" i="5"/>
  <c r="K386" i="5" s="1"/>
  <c r="L386" i="5" s="1"/>
  <c r="I386" i="5"/>
  <c r="J385" i="5"/>
  <c r="K385" i="5" s="1"/>
  <c r="L385" i="5" s="1"/>
  <c r="I385" i="5"/>
  <c r="J384" i="5"/>
  <c r="K384" i="5" s="1"/>
  <c r="L384" i="5" s="1"/>
  <c r="I384" i="5"/>
  <c r="J383" i="5"/>
  <c r="K383" i="5" s="1"/>
  <c r="L383" i="5" s="1"/>
  <c r="I383" i="5"/>
  <c r="J382" i="5"/>
  <c r="K382" i="5" s="1"/>
  <c r="L382" i="5" s="1"/>
  <c r="I382" i="5"/>
  <c r="J381" i="5"/>
  <c r="K381" i="5" s="1"/>
  <c r="L381" i="5" s="1"/>
  <c r="I381" i="5"/>
  <c r="J380" i="5"/>
  <c r="K380" i="5" s="1"/>
  <c r="L380" i="5" s="1"/>
  <c r="I380" i="5"/>
  <c r="J379" i="5"/>
  <c r="K379" i="5" s="1"/>
  <c r="L379" i="5" s="1"/>
  <c r="I379" i="5"/>
  <c r="J378" i="5"/>
  <c r="K378" i="5" s="1"/>
  <c r="L378" i="5" s="1"/>
  <c r="I378" i="5"/>
  <c r="J377" i="5"/>
  <c r="K377" i="5" s="1"/>
  <c r="L377" i="5" s="1"/>
  <c r="I377" i="5"/>
  <c r="J376" i="5"/>
  <c r="K376" i="5" s="1"/>
  <c r="L376" i="5" s="1"/>
  <c r="I376" i="5"/>
  <c r="J375" i="5"/>
  <c r="K375" i="5" s="1"/>
  <c r="L375" i="5" s="1"/>
  <c r="I375" i="5"/>
  <c r="J374" i="5"/>
  <c r="K374" i="5" s="1"/>
  <c r="L374" i="5" s="1"/>
  <c r="I374" i="5"/>
  <c r="J373" i="5"/>
  <c r="K373" i="5" s="1"/>
  <c r="L373" i="5" s="1"/>
  <c r="I373" i="5"/>
  <c r="J372" i="5"/>
  <c r="K372" i="5" s="1"/>
  <c r="L372" i="5" s="1"/>
  <c r="I372" i="5"/>
  <c r="J371" i="5"/>
  <c r="K371" i="5" s="1"/>
  <c r="L371" i="5" s="1"/>
  <c r="I371" i="5"/>
  <c r="J370" i="5"/>
  <c r="K370" i="5" s="1"/>
  <c r="L370" i="5" s="1"/>
  <c r="I370" i="5"/>
  <c r="J369" i="5"/>
  <c r="K369" i="5" s="1"/>
  <c r="L369" i="5" s="1"/>
  <c r="I369" i="5"/>
  <c r="J368" i="5"/>
  <c r="K368" i="5" s="1"/>
  <c r="L368" i="5" s="1"/>
  <c r="I368" i="5"/>
  <c r="J367" i="5"/>
  <c r="K367" i="5" s="1"/>
  <c r="L367" i="5" s="1"/>
  <c r="I367" i="5"/>
  <c r="J366" i="5"/>
  <c r="K366" i="5" s="1"/>
  <c r="L366" i="5" s="1"/>
  <c r="I366" i="5"/>
  <c r="J365" i="5"/>
  <c r="K365" i="5" s="1"/>
  <c r="L365" i="5" s="1"/>
  <c r="I365" i="5"/>
  <c r="J364" i="5"/>
  <c r="K364" i="5" s="1"/>
  <c r="L364" i="5" s="1"/>
  <c r="I364" i="5"/>
  <c r="J363" i="5"/>
  <c r="K363" i="5" s="1"/>
  <c r="L363" i="5" s="1"/>
  <c r="I363" i="5"/>
  <c r="J362" i="5"/>
  <c r="K362" i="5" s="1"/>
  <c r="L362" i="5" s="1"/>
  <c r="I362" i="5"/>
  <c r="J361" i="5"/>
  <c r="K361" i="5" s="1"/>
  <c r="L361" i="5" s="1"/>
  <c r="I361" i="5"/>
  <c r="J360" i="5"/>
  <c r="K360" i="5" s="1"/>
  <c r="L360" i="5" s="1"/>
  <c r="I360" i="5"/>
  <c r="J359" i="5"/>
  <c r="K359" i="5" s="1"/>
  <c r="L359" i="5" s="1"/>
  <c r="I359" i="5"/>
  <c r="J358" i="5"/>
  <c r="K358" i="5" s="1"/>
  <c r="L358" i="5" s="1"/>
  <c r="I358" i="5"/>
  <c r="J357" i="5"/>
  <c r="K357" i="5" s="1"/>
  <c r="L357" i="5" s="1"/>
  <c r="I357" i="5"/>
  <c r="J356" i="5"/>
  <c r="K356" i="5" s="1"/>
  <c r="L356" i="5" s="1"/>
  <c r="I356" i="5"/>
  <c r="J355" i="5"/>
  <c r="K355" i="5" s="1"/>
  <c r="L355" i="5" s="1"/>
  <c r="I355" i="5"/>
  <c r="J354" i="5"/>
  <c r="K354" i="5" s="1"/>
  <c r="L354" i="5" s="1"/>
  <c r="I354" i="5"/>
  <c r="J353" i="5"/>
  <c r="K353" i="5" s="1"/>
  <c r="L353" i="5" s="1"/>
  <c r="I353" i="5"/>
  <c r="J352" i="5"/>
  <c r="K352" i="5" s="1"/>
  <c r="L352" i="5" s="1"/>
  <c r="I352" i="5"/>
  <c r="J351" i="5"/>
  <c r="K351" i="5" s="1"/>
  <c r="L351" i="5" s="1"/>
  <c r="I351" i="5"/>
  <c r="J350" i="5"/>
  <c r="K350" i="5" s="1"/>
  <c r="L350" i="5" s="1"/>
  <c r="I350" i="5"/>
  <c r="J349" i="5"/>
  <c r="K349" i="5" s="1"/>
  <c r="L349" i="5" s="1"/>
  <c r="I349" i="5"/>
  <c r="J348" i="5"/>
  <c r="K348" i="5" s="1"/>
  <c r="L348" i="5" s="1"/>
  <c r="I348" i="5"/>
  <c r="J347" i="5"/>
  <c r="K347" i="5" s="1"/>
  <c r="L347" i="5" s="1"/>
  <c r="I347" i="5"/>
  <c r="J346" i="5"/>
  <c r="K346" i="5" s="1"/>
  <c r="L346" i="5" s="1"/>
  <c r="I346" i="5"/>
  <c r="J345" i="5"/>
  <c r="K345" i="5" s="1"/>
  <c r="L345" i="5" s="1"/>
  <c r="I345" i="5"/>
  <c r="J344" i="5"/>
  <c r="K344" i="5" s="1"/>
  <c r="L344" i="5" s="1"/>
  <c r="I344" i="5"/>
  <c r="J343" i="5"/>
  <c r="K343" i="5" s="1"/>
  <c r="L343" i="5" s="1"/>
  <c r="I343" i="5"/>
  <c r="J342" i="5"/>
  <c r="K342" i="5" s="1"/>
  <c r="L342" i="5" s="1"/>
  <c r="I342" i="5"/>
  <c r="J341" i="5"/>
  <c r="K341" i="5" s="1"/>
  <c r="L341" i="5" s="1"/>
  <c r="I341" i="5"/>
  <c r="J340" i="5"/>
  <c r="K340" i="5" s="1"/>
  <c r="L340" i="5" s="1"/>
  <c r="I340" i="5"/>
  <c r="J339" i="5"/>
  <c r="K339" i="5" s="1"/>
  <c r="L339" i="5" s="1"/>
  <c r="I339" i="5"/>
  <c r="J338" i="5"/>
  <c r="K338" i="5" s="1"/>
  <c r="L338" i="5" s="1"/>
  <c r="I338" i="5"/>
  <c r="J337" i="5"/>
  <c r="K337" i="5" s="1"/>
  <c r="L337" i="5" s="1"/>
  <c r="I337" i="5"/>
  <c r="J336" i="5"/>
  <c r="K336" i="5" s="1"/>
  <c r="L336" i="5" s="1"/>
  <c r="I336" i="5"/>
  <c r="J335" i="5"/>
  <c r="K335" i="5" s="1"/>
  <c r="L335" i="5" s="1"/>
  <c r="I335" i="5"/>
  <c r="J334" i="5"/>
  <c r="K334" i="5" s="1"/>
  <c r="L334" i="5" s="1"/>
  <c r="I334" i="5"/>
  <c r="J333" i="5"/>
  <c r="K333" i="5" s="1"/>
  <c r="L333" i="5" s="1"/>
  <c r="I333" i="5"/>
  <c r="J332" i="5"/>
  <c r="K332" i="5" s="1"/>
  <c r="L332" i="5" s="1"/>
  <c r="I332" i="5"/>
  <c r="J331" i="5"/>
  <c r="K331" i="5" s="1"/>
  <c r="L331" i="5" s="1"/>
  <c r="I331" i="5"/>
  <c r="J330" i="5"/>
  <c r="K330" i="5" s="1"/>
  <c r="L330" i="5" s="1"/>
  <c r="I330" i="5"/>
  <c r="J329" i="5"/>
  <c r="K329" i="5" s="1"/>
  <c r="L329" i="5" s="1"/>
  <c r="I329" i="5"/>
  <c r="J328" i="5"/>
  <c r="K328" i="5" s="1"/>
  <c r="L328" i="5" s="1"/>
  <c r="I328" i="5"/>
  <c r="J327" i="5"/>
  <c r="K327" i="5" s="1"/>
  <c r="L327" i="5" s="1"/>
  <c r="I327" i="5"/>
  <c r="J326" i="5"/>
  <c r="K326" i="5" s="1"/>
  <c r="L326" i="5" s="1"/>
  <c r="I326" i="5"/>
  <c r="J325" i="5"/>
  <c r="K325" i="5" s="1"/>
  <c r="L325" i="5" s="1"/>
  <c r="I325" i="5"/>
  <c r="J324" i="5"/>
  <c r="K324" i="5" s="1"/>
  <c r="L324" i="5" s="1"/>
  <c r="I324" i="5"/>
  <c r="J323" i="5"/>
  <c r="K323" i="5" s="1"/>
  <c r="L323" i="5" s="1"/>
  <c r="I323" i="5"/>
  <c r="J322" i="5"/>
  <c r="K322" i="5" s="1"/>
  <c r="L322" i="5" s="1"/>
  <c r="I322" i="5"/>
  <c r="J321" i="5"/>
  <c r="K321" i="5" s="1"/>
  <c r="L321" i="5" s="1"/>
  <c r="I321" i="5"/>
  <c r="J320" i="5"/>
  <c r="K320" i="5" s="1"/>
  <c r="L320" i="5" s="1"/>
  <c r="I320" i="5"/>
  <c r="J319" i="5"/>
  <c r="K319" i="5" s="1"/>
  <c r="L319" i="5" s="1"/>
  <c r="I319" i="5"/>
  <c r="J318" i="5"/>
  <c r="K318" i="5" s="1"/>
  <c r="L318" i="5" s="1"/>
  <c r="I318" i="5"/>
  <c r="J317" i="5"/>
  <c r="K317" i="5" s="1"/>
  <c r="L317" i="5" s="1"/>
  <c r="I317" i="5"/>
  <c r="J316" i="5"/>
  <c r="K316" i="5" s="1"/>
  <c r="L316" i="5" s="1"/>
  <c r="I316" i="5"/>
  <c r="J315" i="5"/>
  <c r="K315" i="5" s="1"/>
  <c r="L315" i="5" s="1"/>
  <c r="I315" i="5"/>
  <c r="J314" i="5"/>
  <c r="K314" i="5" s="1"/>
  <c r="L314" i="5" s="1"/>
  <c r="I314" i="5"/>
  <c r="J313" i="5"/>
  <c r="K313" i="5" s="1"/>
  <c r="L313" i="5" s="1"/>
  <c r="I313" i="5"/>
  <c r="J312" i="5"/>
  <c r="K312" i="5" s="1"/>
  <c r="L312" i="5" s="1"/>
  <c r="I312" i="5"/>
  <c r="J311" i="5"/>
  <c r="K311" i="5" s="1"/>
  <c r="L311" i="5" s="1"/>
  <c r="I311" i="5"/>
  <c r="J310" i="5"/>
  <c r="K310" i="5" s="1"/>
  <c r="L310" i="5" s="1"/>
  <c r="I310" i="5"/>
  <c r="J309" i="5"/>
  <c r="K309" i="5" s="1"/>
  <c r="L309" i="5" s="1"/>
  <c r="I309" i="5"/>
  <c r="J308" i="5"/>
  <c r="K308" i="5" s="1"/>
  <c r="L308" i="5" s="1"/>
  <c r="I308" i="5"/>
  <c r="J307" i="5"/>
  <c r="K307" i="5" s="1"/>
  <c r="L307" i="5" s="1"/>
  <c r="I307" i="5"/>
  <c r="J306" i="5"/>
  <c r="K306" i="5" s="1"/>
  <c r="L306" i="5" s="1"/>
  <c r="I306" i="5"/>
  <c r="J305" i="5"/>
  <c r="K305" i="5" s="1"/>
  <c r="L305" i="5" s="1"/>
  <c r="I305" i="5"/>
  <c r="J304" i="5"/>
  <c r="K304" i="5" s="1"/>
  <c r="L304" i="5" s="1"/>
  <c r="I304" i="5"/>
  <c r="J303" i="5"/>
  <c r="K303" i="5" s="1"/>
  <c r="L303" i="5" s="1"/>
  <c r="I303" i="5"/>
  <c r="J302" i="5"/>
  <c r="K302" i="5" s="1"/>
  <c r="L302" i="5" s="1"/>
  <c r="I302" i="5"/>
  <c r="J301" i="5"/>
  <c r="K301" i="5" s="1"/>
  <c r="L301" i="5" s="1"/>
  <c r="I301" i="5"/>
  <c r="J300" i="5"/>
  <c r="K300" i="5" s="1"/>
  <c r="L300" i="5" s="1"/>
  <c r="I300" i="5"/>
  <c r="J299" i="5"/>
  <c r="K299" i="5" s="1"/>
  <c r="L299" i="5" s="1"/>
  <c r="I299" i="5"/>
  <c r="J298" i="5"/>
  <c r="K298" i="5" s="1"/>
  <c r="L298" i="5" s="1"/>
  <c r="I298" i="5"/>
  <c r="J297" i="5"/>
  <c r="K297" i="5" s="1"/>
  <c r="L297" i="5" s="1"/>
  <c r="I297" i="5"/>
  <c r="J296" i="5"/>
  <c r="K296" i="5" s="1"/>
  <c r="L296" i="5" s="1"/>
  <c r="I296" i="5"/>
  <c r="J295" i="5"/>
  <c r="K295" i="5" s="1"/>
  <c r="L295" i="5" s="1"/>
  <c r="I295" i="5"/>
  <c r="J294" i="5"/>
  <c r="K294" i="5" s="1"/>
  <c r="L294" i="5" s="1"/>
  <c r="I294" i="5"/>
  <c r="J293" i="5"/>
  <c r="K293" i="5" s="1"/>
  <c r="L293" i="5" s="1"/>
  <c r="I293" i="5"/>
  <c r="J292" i="5"/>
  <c r="K292" i="5" s="1"/>
  <c r="L292" i="5" s="1"/>
  <c r="I292" i="5"/>
  <c r="J291" i="5"/>
  <c r="K291" i="5" s="1"/>
  <c r="L291" i="5" s="1"/>
  <c r="I291" i="5"/>
  <c r="J290" i="5"/>
  <c r="K290" i="5" s="1"/>
  <c r="L290" i="5" s="1"/>
  <c r="I290" i="5"/>
  <c r="J289" i="5"/>
  <c r="K289" i="5" s="1"/>
  <c r="L289" i="5" s="1"/>
  <c r="I289" i="5"/>
  <c r="J288" i="5"/>
  <c r="K288" i="5" s="1"/>
  <c r="L288" i="5" s="1"/>
  <c r="I288" i="5"/>
  <c r="J287" i="5"/>
  <c r="K287" i="5" s="1"/>
  <c r="L287" i="5" s="1"/>
  <c r="I287" i="5"/>
  <c r="J286" i="5"/>
  <c r="K286" i="5" s="1"/>
  <c r="L286" i="5" s="1"/>
  <c r="I286" i="5"/>
  <c r="J285" i="5"/>
  <c r="K285" i="5" s="1"/>
  <c r="L285" i="5" s="1"/>
  <c r="I285" i="5"/>
  <c r="J284" i="5"/>
  <c r="K284" i="5" s="1"/>
  <c r="L284" i="5" s="1"/>
  <c r="I284" i="5"/>
  <c r="J283" i="5"/>
  <c r="K283" i="5" s="1"/>
  <c r="L283" i="5" s="1"/>
  <c r="I283" i="5"/>
  <c r="J282" i="5"/>
  <c r="K282" i="5" s="1"/>
  <c r="L282" i="5" s="1"/>
  <c r="I282" i="5"/>
  <c r="J281" i="5"/>
  <c r="K281" i="5" s="1"/>
  <c r="L281" i="5" s="1"/>
  <c r="I281" i="5"/>
  <c r="J280" i="5"/>
  <c r="K280" i="5" s="1"/>
  <c r="L280" i="5" s="1"/>
  <c r="I280" i="5"/>
  <c r="J279" i="5"/>
  <c r="K279" i="5" s="1"/>
  <c r="L279" i="5" s="1"/>
  <c r="I279" i="5"/>
  <c r="J278" i="5"/>
  <c r="K278" i="5" s="1"/>
  <c r="L278" i="5" s="1"/>
  <c r="I278" i="5"/>
  <c r="J277" i="5"/>
  <c r="K277" i="5" s="1"/>
  <c r="L277" i="5" s="1"/>
  <c r="I277" i="5"/>
  <c r="J276" i="5"/>
  <c r="K276" i="5" s="1"/>
  <c r="L276" i="5" s="1"/>
  <c r="I276" i="5"/>
  <c r="J275" i="5"/>
  <c r="K275" i="5" s="1"/>
  <c r="L275" i="5" s="1"/>
  <c r="I275" i="5"/>
  <c r="J274" i="5"/>
  <c r="K274" i="5" s="1"/>
  <c r="L274" i="5" s="1"/>
  <c r="I274" i="5"/>
  <c r="J273" i="5"/>
  <c r="K273" i="5" s="1"/>
  <c r="L273" i="5" s="1"/>
  <c r="I273" i="5"/>
  <c r="J272" i="5"/>
  <c r="K272" i="5" s="1"/>
  <c r="L272" i="5" s="1"/>
  <c r="I272" i="5"/>
  <c r="J271" i="5"/>
  <c r="K271" i="5" s="1"/>
  <c r="L271" i="5" s="1"/>
  <c r="I271" i="5"/>
  <c r="J270" i="5"/>
  <c r="K270" i="5" s="1"/>
  <c r="L270" i="5" s="1"/>
  <c r="I270" i="5"/>
  <c r="J269" i="5"/>
  <c r="K269" i="5" s="1"/>
  <c r="L269" i="5" s="1"/>
  <c r="I269" i="5"/>
  <c r="J268" i="5"/>
  <c r="K268" i="5" s="1"/>
  <c r="L268" i="5" s="1"/>
  <c r="I268" i="5"/>
  <c r="J267" i="5"/>
  <c r="K267" i="5" s="1"/>
  <c r="L267" i="5" s="1"/>
  <c r="I267" i="5"/>
  <c r="J266" i="5"/>
  <c r="K266" i="5" s="1"/>
  <c r="L266" i="5" s="1"/>
  <c r="I266" i="5"/>
  <c r="J265" i="5"/>
  <c r="K265" i="5" s="1"/>
  <c r="L265" i="5" s="1"/>
  <c r="I265" i="5"/>
  <c r="J264" i="5"/>
  <c r="K264" i="5" s="1"/>
  <c r="L264" i="5" s="1"/>
  <c r="I264" i="5"/>
  <c r="J263" i="5"/>
  <c r="K263" i="5" s="1"/>
  <c r="L263" i="5" s="1"/>
  <c r="I263" i="5"/>
  <c r="J262" i="5"/>
  <c r="K262" i="5" s="1"/>
  <c r="L262" i="5" s="1"/>
  <c r="I262" i="5"/>
  <c r="J261" i="5"/>
  <c r="K261" i="5" s="1"/>
  <c r="L261" i="5" s="1"/>
  <c r="I261" i="5"/>
  <c r="J260" i="5"/>
  <c r="K260" i="5" s="1"/>
  <c r="L260" i="5" s="1"/>
  <c r="I260" i="5"/>
  <c r="J259" i="5"/>
  <c r="K259" i="5" s="1"/>
  <c r="L259" i="5" s="1"/>
  <c r="I259" i="5"/>
  <c r="J258" i="5"/>
  <c r="K258" i="5" s="1"/>
  <c r="L258" i="5" s="1"/>
  <c r="I258" i="5"/>
  <c r="J257" i="5"/>
  <c r="K257" i="5" s="1"/>
  <c r="L257" i="5" s="1"/>
  <c r="I257" i="5"/>
  <c r="J256" i="5"/>
  <c r="K256" i="5" s="1"/>
  <c r="L256" i="5" s="1"/>
  <c r="I256" i="5"/>
  <c r="J255" i="5"/>
  <c r="K255" i="5" s="1"/>
  <c r="L255" i="5" s="1"/>
  <c r="I255" i="5"/>
  <c r="J254" i="5"/>
  <c r="K254" i="5" s="1"/>
  <c r="L254" i="5" s="1"/>
  <c r="I254" i="5"/>
  <c r="J253" i="5"/>
  <c r="K253" i="5" s="1"/>
  <c r="L253" i="5" s="1"/>
  <c r="I253" i="5"/>
  <c r="J252" i="5"/>
  <c r="K252" i="5" s="1"/>
  <c r="L252" i="5" s="1"/>
  <c r="I252" i="5"/>
  <c r="J251" i="5"/>
  <c r="K251" i="5" s="1"/>
  <c r="L251" i="5" s="1"/>
  <c r="I251" i="5"/>
  <c r="J250" i="5"/>
  <c r="K250" i="5" s="1"/>
  <c r="L250" i="5" s="1"/>
  <c r="I250" i="5"/>
  <c r="J249" i="5"/>
  <c r="K249" i="5" s="1"/>
  <c r="L249" i="5" s="1"/>
  <c r="I249" i="5"/>
  <c r="J248" i="5"/>
  <c r="K248" i="5" s="1"/>
  <c r="L248" i="5" s="1"/>
  <c r="I248" i="5"/>
  <c r="J247" i="5"/>
  <c r="K247" i="5" s="1"/>
  <c r="L247" i="5" s="1"/>
  <c r="I247" i="5"/>
  <c r="J246" i="5"/>
  <c r="K246" i="5" s="1"/>
  <c r="L246" i="5" s="1"/>
  <c r="I246" i="5"/>
  <c r="J245" i="5"/>
  <c r="K245" i="5" s="1"/>
  <c r="L245" i="5" s="1"/>
  <c r="I245" i="5"/>
  <c r="J244" i="5"/>
  <c r="K244" i="5" s="1"/>
  <c r="L244" i="5" s="1"/>
  <c r="I244" i="5"/>
  <c r="J243" i="5"/>
  <c r="K243" i="5" s="1"/>
  <c r="L243" i="5" s="1"/>
  <c r="I243" i="5"/>
  <c r="J242" i="5"/>
  <c r="K242" i="5" s="1"/>
  <c r="L242" i="5" s="1"/>
  <c r="I242" i="5"/>
  <c r="J241" i="5"/>
  <c r="K241" i="5" s="1"/>
  <c r="L241" i="5" s="1"/>
  <c r="I241" i="5"/>
  <c r="J240" i="5"/>
  <c r="K240" i="5" s="1"/>
  <c r="L240" i="5" s="1"/>
  <c r="I240" i="5"/>
  <c r="J239" i="5"/>
  <c r="K239" i="5" s="1"/>
  <c r="L239" i="5" s="1"/>
  <c r="I239" i="5"/>
  <c r="J238" i="5"/>
  <c r="K238" i="5" s="1"/>
  <c r="L238" i="5" s="1"/>
  <c r="I238" i="5"/>
  <c r="J237" i="5"/>
  <c r="K237" i="5" s="1"/>
  <c r="L237" i="5" s="1"/>
  <c r="I237" i="5"/>
  <c r="J236" i="5"/>
  <c r="K236" i="5" s="1"/>
  <c r="L236" i="5" s="1"/>
  <c r="I236" i="5"/>
  <c r="J235" i="5"/>
  <c r="K235" i="5" s="1"/>
  <c r="L235" i="5" s="1"/>
  <c r="I235" i="5"/>
  <c r="J234" i="5"/>
  <c r="K234" i="5" s="1"/>
  <c r="L234" i="5" s="1"/>
  <c r="I234" i="5"/>
  <c r="J233" i="5"/>
  <c r="K233" i="5" s="1"/>
  <c r="L233" i="5" s="1"/>
  <c r="I233" i="5"/>
  <c r="J232" i="5"/>
  <c r="K232" i="5" s="1"/>
  <c r="L232" i="5" s="1"/>
  <c r="I232" i="5"/>
  <c r="J231" i="5"/>
  <c r="K231" i="5" s="1"/>
  <c r="L231" i="5" s="1"/>
  <c r="I231" i="5"/>
  <c r="J230" i="5"/>
  <c r="K230" i="5" s="1"/>
  <c r="L230" i="5" s="1"/>
  <c r="I230" i="5"/>
  <c r="J229" i="5"/>
  <c r="K229" i="5" s="1"/>
  <c r="L229" i="5" s="1"/>
  <c r="I229" i="5"/>
  <c r="J228" i="5"/>
  <c r="K228" i="5" s="1"/>
  <c r="L228" i="5" s="1"/>
  <c r="I228" i="5"/>
  <c r="J227" i="5"/>
  <c r="K227" i="5" s="1"/>
  <c r="L227" i="5" s="1"/>
  <c r="I227" i="5"/>
  <c r="J226" i="5"/>
  <c r="K226" i="5" s="1"/>
  <c r="L226" i="5" s="1"/>
  <c r="I226" i="5"/>
  <c r="J225" i="5"/>
  <c r="K225" i="5" s="1"/>
  <c r="L225" i="5" s="1"/>
  <c r="I225" i="5"/>
  <c r="J224" i="5"/>
  <c r="K224" i="5" s="1"/>
  <c r="L224" i="5" s="1"/>
  <c r="I224" i="5"/>
  <c r="J223" i="5"/>
  <c r="K223" i="5" s="1"/>
  <c r="L223" i="5" s="1"/>
  <c r="I223" i="5"/>
  <c r="J222" i="5"/>
  <c r="K222" i="5" s="1"/>
  <c r="L222" i="5" s="1"/>
  <c r="I222" i="5"/>
  <c r="J221" i="5"/>
  <c r="K221" i="5" s="1"/>
  <c r="L221" i="5" s="1"/>
  <c r="I221" i="5"/>
  <c r="J220" i="5"/>
  <c r="K220" i="5" s="1"/>
  <c r="L220" i="5" s="1"/>
  <c r="I220" i="5"/>
  <c r="J219" i="5"/>
  <c r="K219" i="5" s="1"/>
  <c r="L219" i="5" s="1"/>
  <c r="I219" i="5"/>
  <c r="J218" i="5"/>
  <c r="K218" i="5" s="1"/>
  <c r="L218" i="5" s="1"/>
  <c r="I218" i="5"/>
  <c r="J217" i="5"/>
  <c r="K217" i="5" s="1"/>
  <c r="L217" i="5" s="1"/>
  <c r="I217" i="5"/>
  <c r="J216" i="5"/>
  <c r="K216" i="5" s="1"/>
  <c r="L216" i="5" s="1"/>
  <c r="I216" i="5"/>
  <c r="J215" i="5"/>
  <c r="K215" i="5" s="1"/>
  <c r="L215" i="5" s="1"/>
  <c r="I215" i="5"/>
  <c r="J214" i="5"/>
  <c r="K214" i="5" s="1"/>
  <c r="L214" i="5" s="1"/>
  <c r="I214" i="5"/>
  <c r="J213" i="5"/>
  <c r="K213" i="5" s="1"/>
  <c r="L213" i="5" s="1"/>
  <c r="I213" i="5"/>
  <c r="J212" i="5"/>
  <c r="K212" i="5" s="1"/>
  <c r="L212" i="5" s="1"/>
  <c r="I212" i="5"/>
  <c r="J211" i="5"/>
  <c r="K211" i="5" s="1"/>
  <c r="L211" i="5" s="1"/>
  <c r="I211" i="5"/>
  <c r="J210" i="5"/>
  <c r="K210" i="5" s="1"/>
  <c r="L210" i="5" s="1"/>
  <c r="I210" i="5"/>
  <c r="J209" i="5"/>
  <c r="K209" i="5" s="1"/>
  <c r="L209" i="5" s="1"/>
  <c r="I209" i="5"/>
  <c r="J208" i="5"/>
  <c r="K208" i="5" s="1"/>
  <c r="L208" i="5" s="1"/>
  <c r="I208" i="5"/>
  <c r="J207" i="5"/>
  <c r="K207" i="5" s="1"/>
  <c r="L207" i="5" s="1"/>
  <c r="I207" i="5"/>
  <c r="J206" i="5"/>
  <c r="K206" i="5" s="1"/>
  <c r="L206" i="5" s="1"/>
  <c r="I206" i="5"/>
  <c r="J205" i="5"/>
  <c r="K205" i="5" s="1"/>
  <c r="L205" i="5" s="1"/>
  <c r="I205" i="5"/>
  <c r="J204" i="5"/>
  <c r="K204" i="5" s="1"/>
  <c r="L204" i="5" s="1"/>
  <c r="I204" i="5"/>
  <c r="J203" i="5"/>
  <c r="K203" i="5" s="1"/>
  <c r="L203" i="5" s="1"/>
  <c r="I203" i="5"/>
  <c r="J202" i="5"/>
  <c r="K202" i="5" s="1"/>
  <c r="L202" i="5" s="1"/>
  <c r="I202" i="5"/>
  <c r="J201" i="5"/>
  <c r="K201" i="5" s="1"/>
  <c r="L201" i="5" s="1"/>
  <c r="I201" i="5"/>
  <c r="J200" i="5"/>
  <c r="K200" i="5" s="1"/>
  <c r="L200" i="5" s="1"/>
  <c r="I200" i="5"/>
  <c r="J199" i="5"/>
  <c r="K199" i="5" s="1"/>
  <c r="L199" i="5" s="1"/>
  <c r="I199" i="5"/>
  <c r="J198" i="5"/>
  <c r="K198" i="5" s="1"/>
  <c r="L198" i="5" s="1"/>
  <c r="I198" i="5"/>
  <c r="J197" i="5"/>
  <c r="K197" i="5" s="1"/>
  <c r="L197" i="5" s="1"/>
  <c r="I197" i="5"/>
  <c r="J196" i="5"/>
  <c r="K196" i="5" s="1"/>
  <c r="L196" i="5" s="1"/>
  <c r="I196" i="5"/>
  <c r="J195" i="5"/>
  <c r="K195" i="5" s="1"/>
  <c r="L195" i="5" s="1"/>
  <c r="I195" i="5"/>
  <c r="J194" i="5"/>
  <c r="K194" i="5" s="1"/>
  <c r="L194" i="5" s="1"/>
  <c r="I194" i="5"/>
  <c r="J193" i="5"/>
  <c r="K193" i="5" s="1"/>
  <c r="L193" i="5" s="1"/>
  <c r="I193" i="5"/>
  <c r="J192" i="5"/>
  <c r="K192" i="5" s="1"/>
  <c r="L192" i="5" s="1"/>
  <c r="I192" i="5"/>
  <c r="J191" i="5"/>
  <c r="K191" i="5" s="1"/>
  <c r="L191" i="5" s="1"/>
  <c r="I191" i="5"/>
  <c r="J190" i="5"/>
  <c r="K190" i="5" s="1"/>
  <c r="L190" i="5" s="1"/>
  <c r="I190" i="5"/>
  <c r="J189" i="5"/>
  <c r="K189" i="5" s="1"/>
  <c r="L189" i="5" s="1"/>
  <c r="I189" i="5"/>
  <c r="J188" i="5"/>
  <c r="K188" i="5" s="1"/>
  <c r="L188" i="5" s="1"/>
  <c r="I188" i="5"/>
  <c r="J187" i="5"/>
  <c r="K187" i="5" s="1"/>
  <c r="L187" i="5" s="1"/>
  <c r="I187" i="5"/>
  <c r="J186" i="5"/>
  <c r="K186" i="5" s="1"/>
  <c r="L186" i="5" s="1"/>
  <c r="I186" i="5"/>
  <c r="J185" i="5"/>
  <c r="K185" i="5" s="1"/>
  <c r="L185" i="5" s="1"/>
  <c r="I185" i="5"/>
  <c r="J184" i="5"/>
  <c r="K184" i="5" s="1"/>
  <c r="L184" i="5" s="1"/>
  <c r="I184" i="5"/>
  <c r="J183" i="5"/>
  <c r="K183" i="5" s="1"/>
  <c r="L183" i="5" s="1"/>
  <c r="I183" i="5"/>
  <c r="J182" i="5"/>
  <c r="K182" i="5" s="1"/>
  <c r="L182" i="5" s="1"/>
  <c r="I182" i="5"/>
  <c r="J181" i="5"/>
  <c r="K181" i="5" s="1"/>
  <c r="L181" i="5" s="1"/>
  <c r="I181" i="5"/>
  <c r="J180" i="5"/>
  <c r="K180" i="5" s="1"/>
  <c r="L180" i="5" s="1"/>
  <c r="I180" i="5"/>
  <c r="J179" i="5"/>
  <c r="K179" i="5" s="1"/>
  <c r="L179" i="5" s="1"/>
  <c r="I179" i="5"/>
  <c r="J178" i="5"/>
  <c r="K178" i="5" s="1"/>
  <c r="L178" i="5" s="1"/>
  <c r="I178" i="5"/>
  <c r="J177" i="5"/>
  <c r="K177" i="5" s="1"/>
  <c r="L177" i="5" s="1"/>
  <c r="I177" i="5"/>
  <c r="J176" i="5"/>
  <c r="K176" i="5" s="1"/>
  <c r="L176" i="5" s="1"/>
  <c r="I176" i="5"/>
  <c r="J175" i="5"/>
  <c r="K175" i="5" s="1"/>
  <c r="L175" i="5" s="1"/>
  <c r="I175" i="5"/>
  <c r="J174" i="5"/>
  <c r="K174" i="5" s="1"/>
  <c r="L174" i="5" s="1"/>
  <c r="I174" i="5"/>
  <c r="J173" i="5"/>
  <c r="K173" i="5" s="1"/>
  <c r="L173" i="5" s="1"/>
  <c r="I173" i="5"/>
  <c r="J172" i="5"/>
  <c r="K172" i="5" s="1"/>
  <c r="L172" i="5" s="1"/>
  <c r="I172" i="5"/>
  <c r="J171" i="5"/>
  <c r="K171" i="5" s="1"/>
  <c r="L171" i="5" s="1"/>
  <c r="I171" i="5"/>
  <c r="J170" i="5"/>
  <c r="K170" i="5" s="1"/>
  <c r="L170" i="5" s="1"/>
  <c r="I170" i="5"/>
  <c r="J169" i="5"/>
  <c r="K169" i="5" s="1"/>
  <c r="L169" i="5" s="1"/>
  <c r="I169" i="5"/>
  <c r="J168" i="5"/>
  <c r="K168" i="5" s="1"/>
  <c r="L168" i="5" s="1"/>
  <c r="I168" i="5"/>
  <c r="J167" i="5"/>
  <c r="K167" i="5" s="1"/>
  <c r="L167" i="5" s="1"/>
  <c r="I167" i="5"/>
  <c r="J166" i="5"/>
  <c r="K166" i="5" s="1"/>
  <c r="L166" i="5" s="1"/>
  <c r="I166" i="5"/>
  <c r="J165" i="5"/>
  <c r="K165" i="5" s="1"/>
  <c r="L165" i="5" s="1"/>
  <c r="I165" i="5"/>
  <c r="J164" i="5"/>
  <c r="K164" i="5" s="1"/>
  <c r="L164" i="5" s="1"/>
  <c r="I164" i="5"/>
  <c r="J163" i="5"/>
  <c r="K163" i="5" s="1"/>
  <c r="L163" i="5" s="1"/>
  <c r="I163" i="5"/>
  <c r="J162" i="5"/>
  <c r="K162" i="5" s="1"/>
  <c r="L162" i="5" s="1"/>
  <c r="I162" i="5"/>
  <c r="J161" i="5"/>
  <c r="K161" i="5" s="1"/>
  <c r="L161" i="5" s="1"/>
  <c r="I161" i="5"/>
  <c r="J160" i="5"/>
  <c r="K160" i="5" s="1"/>
  <c r="L160" i="5" s="1"/>
  <c r="I160" i="5"/>
  <c r="J159" i="5"/>
  <c r="K159" i="5" s="1"/>
  <c r="L159" i="5" s="1"/>
  <c r="I159" i="5"/>
  <c r="J158" i="5"/>
  <c r="K158" i="5" s="1"/>
  <c r="L158" i="5" s="1"/>
  <c r="I158" i="5"/>
  <c r="J157" i="5"/>
  <c r="K157" i="5" s="1"/>
  <c r="L157" i="5" s="1"/>
  <c r="I157" i="5"/>
  <c r="J156" i="5"/>
  <c r="K156" i="5" s="1"/>
  <c r="L156" i="5" s="1"/>
  <c r="I156" i="5"/>
  <c r="J155" i="5"/>
  <c r="K155" i="5" s="1"/>
  <c r="L155" i="5" s="1"/>
  <c r="I155" i="5"/>
  <c r="J154" i="5"/>
  <c r="K154" i="5" s="1"/>
  <c r="L154" i="5" s="1"/>
  <c r="I154" i="5"/>
  <c r="J153" i="5"/>
  <c r="K153" i="5" s="1"/>
  <c r="L153" i="5" s="1"/>
  <c r="I153" i="5"/>
  <c r="J152" i="5"/>
  <c r="K152" i="5" s="1"/>
  <c r="L152" i="5" s="1"/>
  <c r="I152" i="5"/>
  <c r="J151" i="5"/>
  <c r="K151" i="5" s="1"/>
  <c r="L151" i="5" s="1"/>
  <c r="I151" i="5"/>
  <c r="J150" i="5"/>
  <c r="K150" i="5" s="1"/>
  <c r="L150" i="5" s="1"/>
  <c r="I150" i="5"/>
  <c r="J149" i="5"/>
  <c r="K149" i="5" s="1"/>
  <c r="L149" i="5" s="1"/>
  <c r="I149" i="5"/>
  <c r="J148" i="5"/>
  <c r="K148" i="5" s="1"/>
  <c r="L148" i="5" s="1"/>
  <c r="I148" i="5"/>
  <c r="J147" i="5"/>
  <c r="K147" i="5" s="1"/>
  <c r="L147" i="5" s="1"/>
  <c r="I147" i="5"/>
  <c r="J146" i="5"/>
  <c r="K146" i="5" s="1"/>
  <c r="L146" i="5" s="1"/>
  <c r="I146" i="5"/>
  <c r="J145" i="5"/>
  <c r="K145" i="5" s="1"/>
  <c r="L145" i="5" s="1"/>
  <c r="I145" i="5"/>
  <c r="J144" i="5"/>
  <c r="K144" i="5" s="1"/>
  <c r="L144" i="5" s="1"/>
  <c r="I144" i="5"/>
  <c r="J143" i="5"/>
  <c r="K143" i="5" s="1"/>
  <c r="L143" i="5" s="1"/>
  <c r="I143" i="5"/>
  <c r="J142" i="5"/>
  <c r="K142" i="5" s="1"/>
  <c r="L142" i="5" s="1"/>
  <c r="I142" i="5"/>
  <c r="J141" i="5"/>
  <c r="K141" i="5" s="1"/>
  <c r="L141" i="5" s="1"/>
  <c r="I141" i="5"/>
  <c r="J140" i="5"/>
  <c r="K140" i="5" s="1"/>
  <c r="L140" i="5" s="1"/>
  <c r="I140" i="5"/>
  <c r="J139" i="5"/>
  <c r="K139" i="5" s="1"/>
  <c r="L139" i="5" s="1"/>
  <c r="I139" i="5"/>
  <c r="J138" i="5"/>
  <c r="K138" i="5" s="1"/>
  <c r="L138" i="5" s="1"/>
  <c r="I138" i="5"/>
  <c r="J137" i="5"/>
  <c r="K137" i="5" s="1"/>
  <c r="L137" i="5" s="1"/>
  <c r="I137" i="5"/>
  <c r="J136" i="5"/>
  <c r="K136" i="5" s="1"/>
  <c r="L136" i="5" s="1"/>
  <c r="I136" i="5"/>
  <c r="J135" i="5"/>
  <c r="K135" i="5" s="1"/>
  <c r="L135" i="5" s="1"/>
  <c r="I135" i="5"/>
  <c r="J134" i="5"/>
  <c r="K134" i="5" s="1"/>
  <c r="L134" i="5" s="1"/>
  <c r="I134" i="5"/>
  <c r="J133" i="5"/>
  <c r="K133" i="5" s="1"/>
  <c r="L133" i="5" s="1"/>
  <c r="I133" i="5"/>
  <c r="J132" i="5"/>
  <c r="K132" i="5" s="1"/>
  <c r="L132" i="5" s="1"/>
  <c r="I132" i="5"/>
  <c r="J131" i="5"/>
  <c r="K131" i="5" s="1"/>
  <c r="L131" i="5" s="1"/>
  <c r="I131" i="5"/>
  <c r="J130" i="5"/>
  <c r="K130" i="5" s="1"/>
  <c r="L130" i="5" s="1"/>
  <c r="I130" i="5"/>
  <c r="J129" i="5"/>
  <c r="K129" i="5" s="1"/>
  <c r="L129" i="5" s="1"/>
  <c r="I129" i="5"/>
  <c r="J128" i="5"/>
  <c r="K128" i="5" s="1"/>
  <c r="L128" i="5" s="1"/>
  <c r="I128" i="5"/>
  <c r="J127" i="5"/>
  <c r="K127" i="5" s="1"/>
  <c r="L127" i="5" s="1"/>
  <c r="I127" i="5"/>
  <c r="J126" i="5"/>
  <c r="K126" i="5" s="1"/>
  <c r="L126" i="5" s="1"/>
  <c r="I126" i="5"/>
  <c r="J125" i="5"/>
  <c r="K125" i="5" s="1"/>
  <c r="L125" i="5" s="1"/>
  <c r="I125" i="5"/>
  <c r="J124" i="5"/>
  <c r="K124" i="5" s="1"/>
  <c r="L124" i="5" s="1"/>
  <c r="I124" i="5"/>
  <c r="J123" i="5"/>
  <c r="K123" i="5" s="1"/>
  <c r="L123" i="5" s="1"/>
  <c r="I123" i="5"/>
  <c r="J122" i="5"/>
  <c r="K122" i="5" s="1"/>
  <c r="L122" i="5" s="1"/>
  <c r="I122" i="5"/>
  <c r="J121" i="5"/>
  <c r="K121" i="5" s="1"/>
  <c r="L121" i="5" s="1"/>
  <c r="I121" i="5"/>
  <c r="J120" i="5"/>
  <c r="K120" i="5" s="1"/>
  <c r="L120" i="5" s="1"/>
  <c r="I120" i="5"/>
  <c r="J119" i="5"/>
  <c r="K119" i="5" s="1"/>
  <c r="L119" i="5" s="1"/>
  <c r="I119" i="5"/>
  <c r="J118" i="5"/>
  <c r="K118" i="5" s="1"/>
  <c r="L118" i="5" s="1"/>
  <c r="I118" i="5"/>
  <c r="J117" i="5"/>
  <c r="K117" i="5" s="1"/>
  <c r="L117" i="5" s="1"/>
  <c r="I117" i="5"/>
  <c r="J116" i="5"/>
  <c r="K116" i="5" s="1"/>
  <c r="L116" i="5" s="1"/>
  <c r="I116" i="5"/>
  <c r="J115" i="5"/>
  <c r="K115" i="5" s="1"/>
  <c r="L115" i="5" s="1"/>
  <c r="I115" i="5"/>
  <c r="J114" i="5"/>
  <c r="K114" i="5" s="1"/>
  <c r="L114" i="5" s="1"/>
  <c r="I114" i="5"/>
  <c r="K113" i="5"/>
  <c r="L113" i="5" s="1"/>
  <c r="J113" i="5"/>
  <c r="I113" i="5"/>
  <c r="J112" i="5"/>
  <c r="K112" i="5" s="1"/>
  <c r="L112" i="5" s="1"/>
  <c r="I112" i="5"/>
  <c r="J111" i="5"/>
  <c r="K111" i="5" s="1"/>
  <c r="L111" i="5" s="1"/>
  <c r="I111" i="5"/>
  <c r="J110" i="5"/>
  <c r="K110" i="5" s="1"/>
  <c r="L110" i="5" s="1"/>
  <c r="I110" i="5"/>
  <c r="J109" i="5"/>
  <c r="K109" i="5" s="1"/>
  <c r="L109" i="5" s="1"/>
  <c r="I109" i="5"/>
  <c r="J108" i="5"/>
  <c r="K108" i="5" s="1"/>
  <c r="L108" i="5" s="1"/>
  <c r="I108" i="5"/>
  <c r="J107" i="5"/>
  <c r="K107" i="5" s="1"/>
  <c r="L107" i="5" s="1"/>
  <c r="I107" i="5"/>
  <c r="J106" i="5"/>
  <c r="K106" i="5" s="1"/>
  <c r="L106" i="5" s="1"/>
  <c r="I106" i="5"/>
  <c r="J105" i="5"/>
  <c r="K105" i="5" s="1"/>
  <c r="L105" i="5" s="1"/>
  <c r="I105" i="5"/>
  <c r="J104" i="5"/>
  <c r="K104" i="5" s="1"/>
  <c r="L104" i="5" s="1"/>
  <c r="I104" i="5"/>
  <c r="J103" i="5"/>
  <c r="K103" i="5" s="1"/>
  <c r="L103" i="5" s="1"/>
  <c r="I103" i="5"/>
  <c r="J102" i="5"/>
  <c r="K102" i="5" s="1"/>
  <c r="L102" i="5" s="1"/>
  <c r="I102" i="5"/>
  <c r="J101" i="5"/>
  <c r="K101" i="5" s="1"/>
  <c r="L101" i="5" s="1"/>
  <c r="I101" i="5"/>
  <c r="J100" i="5"/>
  <c r="K100" i="5" s="1"/>
  <c r="L100" i="5" s="1"/>
  <c r="I100" i="5"/>
  <c r="J99" i="5"/>
  <c r="K99" i="5" s="1"/>
  <c r="L99" i="5" s="1"/>
  <c r="I99" i="5"/>
  <c r="J98" i="5"/>
  <c r="K98" i="5" s="1"/>
  <c r="L98" i="5" s="1"/>
  <c r="I98" i="5"/>
  <c r="J97" i="5"/>
  <c r="K97" i="5" s="1"/>
  <c r="L97" i="5" s="1"/>
  <c r="I97" i="5"/>
  <c r="J96" i="5"/>
  <c r="K96" i="5" s="1"/>
  <c r="L96" i="5" s="1"/>
  <c r="E11" i="2" s="1"/>
  <c r="I96" i="5"/>
  <c r="J95" i="5"/>
  <c r="K95" i="5" s="1"/>
  <c r="L95" i="5" s="1"/>
  <c r="I95" i="5"/>
  <c r="J94" i="5"/>
  <c r="K94" i="5" s="1"/>
  <c r="L94" i="5" s="1"/>
  <c r="I94" i="5"/>
  <c r="J93" i="5"/>
  <c r="K93" i="5" s="1"/>
  <c r="L93" i="5" s="1"/>
  <c r="I93" i="5"/>
  <c r="J92" i="5"/>
  <c r="K92" i="5" s="1"/>
  <c r="L92" i="5" s="1"/>
  <c r="I92" i="5"/>
  <c r="K91" i="5"/>
  <c r="L91" i="5" s="1"/>
  <c r="J91" i="5"/>
  <c r="I91" i="5"/>
  <c r="J90" i="5"/>
  <c r="K90" i="5" s="1"/>
  <c r="L90" i="5" s="1"/>
  <c r="I90" i="5"/>
  <c r="J89" i="5"/>
  <c r="K89" i="5" s="1"/>
  <c r="L89" i="5" s="1"/>
  <c r="I89" i="5"/>
  <c r="J88" i="5"/>
  <c r="K88" i="5" s="1"/>
  <c r="L88" i="5" s="1"/>
  <c r="I88" i="5"/>
  <c r="J87" i="5"/>
  <c r="K87" i="5" s="1"/>
  <c r="L87" i="5" s="1"/>
  <c r="I87" i="5"/>
  <c r="J86" i="5"/>
  <c r="K86" i="5" s="1"/>
  <c r="L86" i="5" s="1"/>
  <c r="I86" i="5"/>
  <c r="J85" i="5"/>
  <c r="K85" i="5" s="1"/>
  <c r="L85" i="5" s="1"/>
  <c r="I85" i="5"/>
  <c r="J84" i="5"/>
  <c r="K84" i="5" s="1"/>
  <c r="L84" i="5" s="1"/>
  <c r="I84" i="5"/>
  <c r="J83" i="5"/>
  <c r="K83" i="5" s="1"/>
  <c r="L83" i="5" s="1"/>
  <c r="I83" i="5"/>
  <c r="J82" i="5"/>
  <c r="K82" i="5" s="1"/>
  <c r="L82" i="5" s="1"/>
  <c r="I82" i="5"/>
  <c r="J81" i="5"/>
  <c r="K81" i="5" s="1"/>
  <c r="L81" i="5" s="1"/>
  <c r="I81" i="5"/>
  <c r="J80" i="5"/>
  <c r="K80" i="5" s="1"/>
  <c r="L80" i="5" s="1"/>
  <c r="I80" i="5"/>
  <c r="J79" i="5"/>
  <c r="K79" i="5" s="1"/>
  <c r="L79" i="5" s="1"/>
  <c r="I79" i="5"/>
  <c r="J78" i="5"/>
  <c r="K78" i="5" s="1"/>
  <c r="L78" i="5" s="1"/>
  <c r="I78" i="5"/>
  <c r="J77" i="5"/>
  <c r="K77" i="5" s="1"/>
  <c r="L77" i="5" s="1"/>
  <c r="I77" i="5"/>
  <c r="J76" i="5"/>
  <c r="K76" i="5" s="1"/>
  <c r="L76" i="5" s="1"/>
  <c r="I76" i="5"/>
  <c r="J75" i="5"/>
  <c r="K75" i="5" s="1"/>
  <c r="L75" i="5" s="1"/>
  <c r="I75" i="5"/>
  <c r="J74" i="5"/>
  <c r="K74" i="5" s="1"/>
  <c r="L74" i="5" s="1"/>
  <c r="I74" i="5"/>
  <c r="J73" i="5"/>
  <c r="K73" i="5" s="1"/>
  <c r="L73" i="5" s="1"/>
  <c r="I73" i="5"/>
  <c r="J72" i="5"/>
  <c r="K72" i="5" s="1"/>
  <c r="L72" i="5" s="1"/>
  <c r="I72" i="5"/>
  <c r="J71" i="5"/>
  <c r="K71" i="5" s="1"/>
  <c r="L71" i="5" s="1"/>
  <c r="I71" i="5"/>
  <c r="J70" i="5"/>
  <c r="K70" i="5" s="1"/>
  <c r="L70" i="5" s="1"/>
  <c r="I70" i="5"/>
  <c r="J69" i="5"/>
  <c r="K69" i="5" s="1"/>
  <c r="L69" i="5" s="1"/>
  <c r="E14" i="2" s="1"/>
  <c r="I39" i="2" s="1"/>
  <c r="I69" i="5"/>
  <c r="J68" i="5"/>
  <c r="K68" i="5" s="1"/>
  <c r="L68" i="5" s="1"/>
  <c r="I68" i="5"/>
  <c r="J67" i="5"/>
  <c r="K67" i="5" s="1"/>
  <c r="L67" i="5" s="1"/>
  <c r="I67" i="5"/>
  <c r="J66" i="5"/>
  <c r="K66" i="5" s="1"/>
  <c r="L66" i="5" s="1"/>
  <c r="I66" i="5"/>
  <c r="J65" i="5"/>
  <c r="K65" i="5" s="1"/>
  <c r="L65" i="5" s="1"/>
  <c r="I65" i="5"/>
  <c r="J64" i="5"/>
  <c r="K64" i="5" s="1"/>
  <c r="L64" i="5" s="1"/>
  <c r="I64" i="5"/>
  <c r="J63" i="5"/>
  <c r="K63" i="5" s="1"/>
  <c r="L63" i="5" s="1"/>
  <c r="I63" i="5"/>
  <c r="J62" i="5"/>
  <c r="K62" i="5" s="1"/>
  <c r="L62" i="5" s="1"/>
  <c r="I62" i="5"/>
  <c r="J61" i="5"/>
  <c r="K61" i="5" s="1"/>
  <c r="L61" i="5" s="1"/>
  <c r="I61" i="5"/>
  <c r="J60" i="5"/>
  <c r="K60" i="5" s="1"/>
  <c r="L60" i="5" s="1"/>
  <c r="I60" i="5"/>
  <c r="J59" i="5"/>
  <c r="K59" i="5" s="1"/>
  <c r="L59" i="5" s="1"/>
  <c r="I59" i="5"/>
  <c r="J58" i="5"/>
  <c r="K58" i="5" s="1"/>
  <c r="L58" i="5" s="1"/>
  <c r="I58" i="5"/>
  <c r="J57" i="5"/>
  <c r="K57" i="5" s="1"/>
  <c r="L57" i="5" s="1"/>
  <c r="I57" i="5"/>
  <c r="K56" i="5"/>
  <c r="L56" i="5" s="1"/>
  <c r="J56" i="5"/>
  <c r="I56" i="5"/>
  <c r="J55" i="5"/>
  <c r="K55" i="5" s="1"/>
  <c r="L55" i="5" s="1"/>
  <c r="I55" i="5"/>
  <c r="J54" i="5"/>
  <c r="K54" i="5" s="1"/>
  <c r="L54" i="5" s="1"/>
  <c r="I54" i="5"/>
  <c r="J53" i="5"/>
  <c r="K53" i="5" s="1"/>
  <c r="L53" i="5" s="1"/>
  <c r="I53" i="5"/>
  <c r="J52" i="5"/>
  <c r="K52" i="5" s="1"/>
  <c r="L52" i="5" s="1"/>
  <c r="I52" i="5"/>
  <c r="J51" i="5"/>
  <c r="K51" i="5" s="1"/>
  <c r="L51" i="5" s="1"/>
  <c r="I51" i="5"/>
  <c r="J50" i="5"/>
  <c r="K50" i="5" s="1"/>
  <c r="L50" i="5" s="1"/>
  <c r="I50" i="5"/>
  <c r="J49" i="5"/>
  <c r="K49" i="5" s="1"/>
  <c r="L49" i="5" s="1"/>
  <c r="I49" i="5"/>
  <c r="J48" i="5"/>
  <c r="K48" i="5" s="1"/>
  <c r="L48" i="5" s="1"/>
  <c r="I48" i="5"/>
  <c r="J47" i="5"/>
  <c r="K47" i="5" s="1"/>
  <c r="L47" i="5" s="1"/>
  <c r="I47" i="5"/>
  <c r="J46" i="5"/>
  <c r="K46" i="5" s="1"/>
  <c r="L46" i="5" s="1"/>
  <c r="I46" i="5"/>
  <c r="J45" i="5"/>
  <c r="K45" i="5" s="1"/>
  <c r="L45" i="5" s="1"/>
  <c r="I45" i="5"/>
  <c r="J44" i="5"/>
  <c r="K44" i="5" s="1"/>
  <c r="L44" i="5" s="1"/>
  <c r="I44" i="5"/>
  <c r="J43" i="5"/>
  <c r="K43" i="5" s="1"/>
  <c r="L43" i="5" s="1"/>
  <c r="I43" i="5"/>
  <c r="J42" i="5"/>
  <c r="K42" i="5" s="1"/>
  <c r="L42" i="5" s="1"/>
  <c r="I42" i="5"/>
  <c r="J41" i="5"/>
  <c r="K41" i="5" s="1"/>
  <c r="L41" i="5" s="1"/>
  <c r="I41" i="5"/>
  <c r="J40" i="5"/>
  <c r="K40" i="5" s="1"/>
  <c r="L40" i="5" s="1"/>
  <c r="I40" i="5"/>
  <c r="J39" i="5"/>
  <c r="K39" i="5" s="1"/>
  <c r="L39" i="5" s="1"/>
  <c r="I39" i="5"/>
  <c r="J38" i="5"/>
  <c r="K38" i="5" s="1"/>
  <c r="L38" i="5" s="1"/>
  <c r="I38" i="5"/>
  <c r="J37" i="5"/>
  <c r="K37" i="5" s="1"/>
  <c r="L37" i="5" s="1"/>
  <c r="I37" i="5"/>
  <c r="J36" i="5"/>
  <c r="K36" i="5" s="1"/>
  <c r="L36" i="5" s="1"/>
  <c r="I36" i="5"/>
  <c r="J35" i="5"/>
  <c r="K35" i="5" s="1"/>
  <c r="L35" i="5" s="1"/>
  <c r="I35" i="5"/>
  <c r="J34" i="5"/>
  <c r="K34" i="5" s="1"/>
  <c r="L34" i="5" s="1"/>
  <c r="I34" i="5"/>
  <c r="J33" i="5"/>
  <c r="K33" i="5" s="1"/>
  <c r="L33" i="5" s="1"/>
  <c r="I33" i="5"/>
  <c r="J32" i="5"/>
  <c r="K32" i="5" s="1"/>
  <c r="L32" i="5" s="1"/>
  <c r="I32" i="5"/>
  <c r="J31" i="5"/>
  <c r="K31" i="5" s="1"/>
  <c r="L31" i="5" s="1"/>
  <c r="I31" i="5"/>
  <c r="J30" i="5"/>
  <c r="K30" i="5" s="1"/>
  <c r="L30" i="5" s="1"/>
  <c r="I30" i="5"/>
  <c r="J29" i="5"/>
  <c r="K29" i="5" s="1"/>
  <c r="L29" i="5" s="1"/>
  <c r="I29" i="5"/>
  <c r="J28" i="5"/>
  <c r="K28" i="5" s="1"/>
  <c r="L28" i="5" s="1"/>
  <c r="I28" i="5"/>
  <c r="J27" i="5"/>
  <c r="K27" i="5" s="1"/>
  <c r="L27" i="5" s="1"/>
  <c r="I27" i="5"/>
  <c r="J26" i="5"/>
  <c r="K26" i="5" s="1"/>
  <c r="L26" i="5" s="1"/>
  <c r="I26" i="5"/>
  <c r="J25" i="5"/>
  <c r="K25" i="5" s="1"/>
  <c r="L25" i="5" s="1"/>
  <c r="I25" i="5"/>
  <c r="J24" i="5"/>
  <c r="K24" i="5" s="1"/>
  <c r="L24" i="5" s="1"/>
  <c r="I24" i="5"/>
  <c r="J23" i="5"/>
  <c r="K23" i="5" s="1"/>
  <c r="L23" i="5" s="1"/>
  <c r="I23" i="5"/>
  <c r="J22" i="5"/>
  <c r="K22" i="5" s="1"/>
  <c r="L22" i="5" s="1"/>
  <c r="I22" i="5"/>
  <c r="K21" i="5"/>
  <c r="L21" i="5" s="1"/>
  <c r="J21" i="5"/>
  <c r="I21" i="5"/>
  <c r="J20" i="5"/>
  <c r="K20" i="5" s="1"/>
  <c r="L20" i="5" s="1"/>
  <c r="I20" i="5"/>
  <c r="J19" i="5"/>
  <c r="K19" i="5" s="1"/>
  <c r="L19" i="5" s="1"/>
  <c r="I19" i="5"/>
  <c r="J18" i="5"/>
  <c r="K18" i="5" s="1"/>
  <c r="L18" i="5" s="1"/>
  <c r="I18" i="5"/>
  <c r="J17" i="5"/>
  <c r="K17" i="5" s="1"/>
  <c r="L17" i="5" s="1"/>
  <c r="I17" i="5"/>
  <c r="J16" i="5"/>
  <c r="K16" i="5" s="1"/>
  <c r="L16" i="5" s="1"/>
  <c r="I16" i="5"/>
  <c r="J15" i="5"/>
  <c r="K15" i="5" s="1"/>
  <c r="L15" i="5" s="1"/>
  <c r="I15" i="5"/>
  <c r="J14" i="5"/>
  <c r="K14" i="5" s="1"/>
  <c r="L14" i="5" s="1"/>
  <c r="I14" i="5"/>
  <c r="J13" i="5"/>
  <c r="K13" i="5" s="1"/>
  <c r="L13" i="5" s="1"/>
  <c r="I13" i="5"/>
  <c r="J12" i="5"/>
  <c r="K12" i="5" s="1"/>
  <c r="L12" i="5" s="1"/>
  <c r="I12" i="5"/>
  <c r="J11" i="5"/>
  <c r="K11" i="5" s="1"/>
  <c r="L11" i="5" s="1"/>
  <c r="I11" i="5"/>
  <c r="J10" i="5"/>
  <c r="K10" i="5" s="1"/>
  <c r="L10" i="5" s="1"/>
  <c r="I10" i="5"/>
  <c r="J9" i="5"/>
  <c r="K9" i="5" s="1"/>
  <c r="L9" i="5" s="1"/>
  <c r="I9" i="5"/>
  <c r="J8" i="5"/>
  <c r="K8" i="5" s="1"/>
  <c r="L8" i="5" s="1"/>
  <c r="I8" i="5"/>
  <c r="J7" i="5"/>
  <c r="K7" i="5" s="1"/>
  <c r="L7" i="5" s="1"/>
  <c r="I7" i="5"/>
  <c r="J6" i="5"/>
  <c r="K6" i="5" s="1"/>
  <c r="L6" i="5" s="1"/>
  <c r="I6" i="5"/>
  <c r="J5" i="5"/>
  <c r="K5" i="5" s="1"/>
  <c r="L5" i="5" s="1"/>
  <c r="I5" i="5"/>
  <c r="J4" i="5"/>
  <c r="K4" i="5" s="1"/>
  <c r="L4" i="5" s="1"/>
  <c r="I4" i="5"/>
  <c r="J3" i="5"/>
  <c r="K3" i="5" s="1"/>
  <c r="L3" i="5" s="1"/>
  <c r="I3" i="5"/>
  <c r="J2" i="5"/>
  <c r="K2" i="5" s="1"/>
  <c r="L2" i="5" s="1"/>
  <c r="E12" i="2" s="1"/>
  <c r="I37" i="2" s="1"/>
  <c r="I2" i="5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25" i="2"/>
  <c r="C25" i="2"/>
  <c r="D24" i="2"/>
  <c r="C24" i="2"/>
  <c r="D23" i="2"/>
  <c r="C23" i="2"/>
  <c r="D22" i="2"/>
  <c r="C22" i="2"/>
  <c r="D21" i="2"/>
  <c r="C21" i="2"/>
  <c r="D20" i="2"/>
  <c r="C20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D16" i="2" s="1"/>
  <c r="C11" i="2"/>
  <c r="C16" i="2" s="1"/>
  <c r="B11" i="2"/>
  <c r="B7" i="2"/>
  <c r="B6" i="2"/>
  <c r="B16" i="2" l="1"/>
  <c r="I36" i="2"/>
  <c r="E15" i="2"/>
  <c r="I40" i="2" s="1"/>
  <c r="E13" i="2"/>
  <c r="I38" i="2" l="1"/>
  <c r="E16" i="2"/>
  <c r="F12" i="2" l="1"/>
  <c r="F13" i="2"/>
  <c r="F11" i="2"/>
  <c r="F15" i="2"/>
  <c r="F14" i="2"/>
  <c r="F16" i="2"/>
</calcChain>
</file>

<file path=xl/sharedStrings.xml><?xml version="1.0" encoding="utf-8"?>
<sst xmlns="http://schemas.openxmlformats.org/spreadsheetml/2006/main" count="7463" uniqueCount="954">
  <si>
    <t>Microsoft License Allocation Workbook - March 2026</t>
  </si>
  <si>
    <t>Purpose</t>
  </si>
  <si>
    <t>Allocate Microsoft license invoice costs by cost centre using SKU-level allocation (Option B).</t>
  </si>
  <si>
    <t>How to use</t>
  </si>
  <si>
    <t>1. Update the Monthly Invoice Amount column on SKU_Cost_Input from the monthly Microsoft invoice.</t>
  </si>
  <si>
    <t>2. Review Review_Queue and resolve any low-confidence or unassigned accounts.</t>
  </si>
  <si>
    <t>3. Division_Summary will update automatically once invoice amounts are entered.</t>
  </si>
  <si>
    <t>4. Keep a month-end copy of the file for audit trail and future trend charts.</t>
  </si>
  <si>
    <t>Assumptions used in this build</t>
  </si>
  <si>
    <t>- Shared/generic/service accounts are defaulted to RS, per your instruction.</t>
  </si>
  <si>
    <t>- Namibia and Mozambique are treated as separate cost centres.</t>
  </si>
  <si>
    <t>- AFS is taken from Employee Master Department 2 = AFS unless Site says Namibia/Mozambique.</t>
  </si>
  <si>
    <t>- Where the employee email differs from the licensed email, some records were matched by alias/name and flagged for review.</t>
  </si>
  <si>
    <t>Current snapshot</t>
  </si>
  <si>
    <t>Licensed accounts in export: 147</t>
  </si>
  <si>
    <t>Unique SKUs in export: 14</t>
  </si>
  <si>
    <t>Accounts needing review: 23</t>
  </si>
  <si>
    <t>Microsoft License Allocation Summary</t>
  </si>
  <si>
    <t>Enter monthly invoice amounts on SKU_Cost_Input. Cost values here will update automatically.</t>
  </si>
  <si>
    <t>KPI</t>
  </si>
  <si>
    <t>Value</t>
  </si>
  <si>
    <t>Licensed accounts in export</t>
  </si>
  <si>
    <t>Mapped to a cost centre</t>
  </si>
  <si>
    <t>Accounts needing review</t>
  </si>
  <si>
    <t>Division</t>
  </si>
  <si>
    <t>Licensed Accounts</t>
  </si>
  <si>
    <t>Review Accounts</t>
  </si>
  <si>
    <t>SKU Assignments</t>
  </si>
  <si>
    <t>Allocated Monthly Cost</t>
  </si>
  <si>
    <t>% of Allocated Cost</t>
  </si>
  <si>
    <t>RS</t>
  </si>
  <si>
    <t>AFS</t>
  </si>
  <si>
    <t>Namibia</t>
  </si>
  <si>
    <t>Mozambique</t>
  </si>
  <si>
    <t>Unassigned - Review</t>
  </si>
  <si>
    <t>Total</t>
  </si>
  <si>
    <t>Top SKU</t>
  </si>
  <si>
    <t>Users</t>
  </si>
  <si>
    <t>Invoice Amount</t>
  </si>
  <si>
    <t>Unit Cost</t>
  </si>
  <si>
    <t>Microsoft Defender for Office 365 (Plan 2)</t>
  </si>
  <si>
    <t>Microsoft 365 Business Standard</t>
  </si>
  <si>
    <t>Microsoft Power Automate Free</t>
  </si>
  <si>
    <t>Microsoft Fabric (Free)</t>
  </si>
  <si>
    <t>Microsoft 365 Business Premium</t>
  </si>
  <si>
    <t>Microsoft 365 E3</t>
  </si>
  <si>
    <t>SKU</t>
  </si>
  <si>
    <t>Active Users</t>
  </si>
  <si>
    <t>Billing Hint</t>
  </si>
  <si>
    <t>Monthly Invoice Amount (input)</t>
  </si>
  <si>
    <t>Notes</t>
  </si>
  <si>
    <t>Review invoice</t>
  </si>
  <si>
    <t>Enter the monthly invoice amount for this SKU if it appears on the invoice</t>
  </si>
  <si>
    <t>Likely billable</t>
  </si>
  <si>
    <t>Likely free / trial</t>
  </si>
  <si>
    <t>Microsoft Copilot Studio Viral Trial</t>
  </si>
  <si>
    <t>Microsoft Power Apps Plan 2 Trial</t>
  </si>
  <si>
    <t>Microsoft Power Apps for Developer</t>
  </si>
  <si>
    <t>Power BI Premium Per User</t>
  </si>
  <si>
    <t>Power Pages vTrial for Makers</t>
  </si>
  <si>
    <t>Exchange Online (Plan 1)</t>
  </si>
  <si>
    <t>Dynamics 365 Customer Insights Self-Service</t>
  </si>
  <si>
    <t>Power Automate per user plan</t>
  </si>
  <si>
    <t>Licensed Display Name</t>
  </si>
  <si>
    <t>Licensed Email</t>
  </si>
  <si>
    <t>Matched Employee Name</t>
  </si>
  <si>
    <t>Candidate Employee Email</t>
  </si>
  <si>
    <t>Employee Number</t>
  </si>
  <si>
    <t>Department Group</t>
  </si>
  <si>
    <t>Site</t>
  </si>
  <si>
    <t>Contact Number</t>
  </si>
  <si>
    <t>Match Status</t>
  </si>
  <si>
    <t>Confidence</t>
  </si>
  <si>
    <t>Review Required</t>
  </si>
  <si>
    <t>Mapping Note</t>
  </si>
  <si>
    <t>License SKU Count</t>
  </si>
  <si>
    <t>All Licenses Raw</t>
  </si>
  <si>
    <t>Antonio Ehrke</t>
  </si>
  <si>
    <t>Antonio.Ehrke@WearCheckRS.com</t>
  </si>
  <si>
    <t>antonio.ehrke@wearcheckrs.com</t>
  </si>
  <si>
    <t>WC503</t>
  </si>
  <si>
    <t>0834695668</t>
  </si>
  <si>
    <t>Matched</t>
  </si>
  <si>
    <t>High</t>
  </si>
  <si>
    <t>No</t>
  </si>
  <si>
    <t>Exact company email match</t>
  </si>
  <si>
    <t>Microsoft Defender for Office 365 (Plan 2)+Microsoft 365 Business Standard</t>
  </si>
  <si>
    <t>Arnold van Zyl</t>
  </si>
  <si>
    <t>Arnold@WearCheckRS.com</t>
  </si>
  <si>
    <t>Arnoldus Johannes van Zyl</t>
  </si>
  <si>
    <t>WC526</t>
  </si>
  <si>
    <t>067412 1369</t>
  </si>
  <si>
    <t>Colleen Pyper</t>
  </si>
  <si>
    <t>colleen.pyper@WearCheckRS.com</t>
  </si>
  <si>
    <t>WC486</t>
  </si>
  <si>
    <t>0662916811</t>
  </si>
  <si>
    <t>Microsoft Defender for Office 365 (Plan 2)+Microsoft Power Automate Free+Microsoft 365 Business Standard</t>
  </si>
  <si>
    <t>Edwin Gibbons</t>
  </si>
  <si>
    <t>edwin@WearCheckRS.com</t>
  </si>
  <si>
    <t>Edwin Ashley Gibbons</t>
  </si>
  <si>
    <t>edwin@wearcheckrs.com</t>
  </si>
  <si>
    <t>WEC138</t>
  </si>
  <si>
    <t>0725336075</t>
  </si>
  <si>
    <t>Ethel Mienie</t>
  </si>
  <si>
    <t>ethel.mienie@WearCheckRS.com</t>
  </si>
  <si>
    <t>WC488</t>
  </si>
  <si>
    <t>0660215452</t>
  </si>
  <si>
    <t>Evert Viljoen</t>
  </si>
  <si>
    <t>Evert@WearCheckRS.com</t>
  </si>
  <si>
    <t>evertv@wearcheck.co.za</t>
  </si>
  <si>
    <t>WC497</t>
  </si>
  <si>
    <t>0795284219</t>
  </si>
  <si>
    <t>Medium</t>
  </si>
  <si>
    <t>Matched via exact name</t>
  </si>
  <si>
    <t>Microsoft Defender for Office 365 (Plan 2)+Microsoft 365 Business Premium</t>
  </si>
  <si>
    <t>Godfrey Boikhutso</t>
  </si>
  <si>
    <t>Godfrey@WearCheckRS.com</t>
  </si>
  <si>
    <t>godfreyb@wearcheck.co.za</t>
  </si>
  <si>
    <t>WC510</t>
  </si>
  <si>
    <t>0718609242</t>
  </si>
  <si>
    <t>Jaco Venter</t>
  </si>
  <si>
    <t>JacoV@WearCheckRS.com</t>
  </si>
  <si>
    <t>Jacobus Frederick Venter</t>
  </si>
  <si>
    <t>jacov@wearcheck.co.za</t>
  </si>
  <si>
    <t>WC493</t>
  </si>
  <si>
    <t>0834009604</t>
  </si>
  <si>
    <t>Matched via email alias/local-part</t>
  </si>
  <si>
    <t>Johan Bekker</t>
  </si>
  <si>
    <t>JohanB@WearCheckRS.com</t>
  </si>
  <si>
    <t>JohanB@wearcheckRS.com</t>
  </si>
  <si>
    <t>WC645</t>
  </si>
  <si>
    <t>0675951633</t>
  </si>
  <si>
    <t>Johan Rossouw</t>
  </si>
  <si>
    <t>JohanR@WearCheckRS.com</t>
  </si>
  <si>
    <t>johanr@wearcheckrs.com</t>
  </si>
  <si>
    <t>WC491</t>
  </si>
  <si>
    <t>0829274240</t>
  </si>
  <si>
    <t>Khotso Mosala</t>
  </si>
  <si>
    <t>Khotso@WearCheckRS.com</t>
  </si>
  <si>
    <t>Khotso Thabo Mosala</t>
  </si>
  <si>
    <t>khotso@wearcheckrs.com</t>
  </si>
  <si>
    <t>WC482</t>
  </si>
  <si>
    <t>0823321905</t>
  </si>
  <si>
    <t>Landus Walters</t>
  </si>
  <si>
    <t>Landus@WearCheckRS.com</t>
  </si>
  <si>
    <t>Norman Landus Walters</t>
  </si>
  <si>
    <t>Landus@wearcheckrs.com</t>
  </si>
  <si>
    <t>WC509</t>
  </si>
  <si>
    <t>076 385 2151</t>
  </si>
  <si>
    <t>Mike Shongwe</t>
  </si>
  <si>
    <t>MikeS@WearCheckRS.com</t>
  </si>
  <si>
    <t>Mike Mbongeni Shongwe</t>
  </si>
  <si>
    <t>mikes@weacheckrs.com</t>
  </si>
  <si>
    <t>WC483</t>
  </si>
  <si>
    <t>0718507077</t>
  </si>
  <si>
    <t>Nico du Plessis</t>
  </si>
  <si>
    <t>Nico.duPlessis@WearCheckRS.com</t>
  </si>
  <si>
    <t>Nicolaas du Plessis</t>
  </si>
  <si>
    <t>nico.duplessis@wearcheckrs.com</t>
  </si>
  <si>
    <t>WC506</t>
  </si>
  <si>
    <t>0718937378</t>
  </si>
  <si>
    <t>Microsoft Power Automate Free+Microsoft Defender for Office 365 (Plan 2)+Microsoft 365 Business Standard</t>
  </si>
  <si>
    <t>Patrick Nel</t>
  </si>
  <si>
    <t>Patrick@WearCheckRS.com</t>
  </si>
  <si>
    <t>patrick@wearcheckrs.com</t>
  </si>
  <si>
    <t>WC498</t>
  </si>
  <si>
    <t>0723633245</t>
  </si>
  <si>
    <t>Roger Henwood</t>
  </si>
  <si>
    <t>RogerH@WearCheckRS.com</t>
  </si>
  <si>
    <t>rogerh@wearcheckrs.com</t>
  </si>
  <si>
    <t>WC504</t>
  </si>
  <si>
    <t>0834465155</t>
  </si>
  <si>
    <t>Rynhardt Smit</t>
  </si>
  <si>
    <t>Rynhardt.Smit@WearCheckRS.com</t>
  </si>
  <si>
    <t>rynhardt.smit@wearcheckrs.com</t>
  </si>
  <si>
    <t>WC501</t>
  </si>
  <si>
    <t>0833081601</t>
  </si>
  <si>
    <t>Simon Difutso</t>
  </si>
  <si>
    <t>simondifutso@WearCheckRS.com</t>
  </si>
  <si>
    <t>Simon Petrus Difutso</t>
  </si>
  <si>
    <t>WC485</t>
  </si>
  <si>
    <t>0838541915</t>
  </si>
  <si>
    <t>Teresa Venter</t>
  </si>
  <si>
    <t>teresa.venter@WearCheckRS.com</t>
  </si>
  <si>
    <t>teresa.venter@wearcheckRS.com</t>
  </si>
  <si>
    <t>WC487</t>
  </si>
  <si>
    <t>0662916929</t>
  </si>
  <si>
    <t>Jean Pierre Du Plessis</t>
  </si>
  <si>
    <t>Jean-Pierre@WearCheckRS.com</t>
  </si>
  <si>
    <t>Jean Pierre du Plessis</t>
  </si>
  <si>
    <t>0602033229</t>
  </si>
  <si>
    <t>Low</t>
  </si>
  <si>
    <t>Yes</t>
  </si>
  <si>
    <t>Microsoft 365 Business Standard+Microsoft Defender for Office 365 (Plan 2)</t>
  </si>
  <si>
    <t>Joe Kies</t>
  </si>
  <si>
    <t>Joe@WearCheckRS.com</t>
  </si>
  <si>
    <t>Joseph Benjamin Kies</t>
  </si>
  <si>
    <t>josephk@wearcheck.co.za</t>
  </si>
  <si>
    <t>WC531</t>
  </si>
  <si>
    <t>0674121368</t>
  </si>
  <si>
    <t>Matched via manual alias/name rule</t>
  </si>
  <si>
    <t>Microsoft Power Automate Free+Microsoft 365 Business Standard+Microsoft Power Apps Plan 2 Trial+Microsoft Fabric (Free)+Microsoft Copilot Studio Viral Trial+Microsoft Power Apps for Developer+Power Pages vTrial for Makers+Microsoft Defender for Office 365 (Plan 2)+Dynamics 365 Customer Insights Self-Service</t>
  </si>
  <si>
    <t>Johan Stols</t>
  </si>
  <si>
    <t>Johan.Stols@WearCheckRS.com</t>
  </si>
  <si>
    <t>Johannes Gideon Francios Stols</t>
  </si>
  <si>
    <t>Johans@wearcheckrs.com</t>
  </si>
  <si>
    <t>WC508</t>
  </si>
  <si>
    <t>0832943748</t>
  </si>
  <si>
    <t>Lorraine Mokgethi</t>
  </si>
  <si>
    <t>Lorraine@WearCheckRS.com</t>
  </si>
  <si>
    <t>Lorraine Lerato Mokgethi</t>
  </si>
  <si>
    <t>lorrainem@wearcheck.co.za</t>
  </si>
  <si>
    <t>WC495</t>
  </si>
  <si>
    <t>786 672 158</t>
  </si>
  <si>
    <t>Matched via close email alias + surname</t>
  </si>
  <si>
    <t>Mervyn Gibbons</t>
  </si>
  <si>
    <t>Mervyn@WearCheckRS.com</t>
  </si>
  <si>
    <t>Mervyn Thomas Gibbons</t>
  </si>
  <si>
    <t>mervyng@wearcheck.co.za</t>
  </si>
  <si>
    <t>WC536</t>
  </si>
  <si>
    <t>0674193633</t>
  </si>
  <si>
    <t>Armindo Mucacho</t>
  </si>
  <si>
    <t>Armindo@WearCheckRS.com</t>
  </si>
  <si>
    <t>Armindo Muchacho</t>
  </si>
  <si>
    <t>armindo@wearcheckrs.com</t>
  </si>
  <si>
    <t>Unknown</t>
  </si>
  <si>
    <t>WearCheck</t>
  </si>
  <si>
    <t>258848349643</t>
  </si>
  <si>
    <t>Microsoft Defender for Office 365 (Plan 2)+Microsoft Fabric (Free)+Microsoft 365 Business Standard</t>
  </si>
  <si>
    <t>David Lipange</t>
  </si>
  <si>
    <t>DavidL@WearCheckRS.com</t>
  </si>
  <si>
    <t>David Lipague</t>
  </si>
  <si>
    <t>davidl@wearcheckrs.com</t>
  </si>
  <si>
    <t>258847817888</t>
  </si>
  <si>
    <t>Isac Zacarias</t>
  </si>
  <si>
    <t>Isac@WearCheckRS.com</t>
  </si>
  <si>
    <t>isac@wearcheckrs.com</t>
  </si>
  <si>
    <t>258849439848</t>
  </si>
  <si>
    <t>Muhamad Ikram Hanif</t>
  </si>
  <si>
    <t>Muhamad@WearCheckRS.com</t>
  </si>
  <si>
    <t>Muhamad Hanif</t>
  </si>
  <si>
    <t>Muhamad@wearcheckRS.com</t>
  </si>
  <si>
    <t>258878054903</t>
  </si>
  <si>
    <t>Placido Maculuve</t>
  </si>
  <si>
    <t>Placido@WearCheckRS.com</t>
  </si>
  <si>
    <t>Placido@wearcheckrs.com</t>
  </si>
  <si>
    <t>258845070300</t>
  </si>
  <si>
    <t>Riaan Du Plooy</t>
  </si>
  <si>
    <t>RiaanDP@WearCheckRS.com</t>
  </si>
  <si>
    <t>Adriaan Johannes du Plooy</t>
  </si>
  <si>
    <t>Riaandp@wearcheckRS.com</t>
  </si>
  <si>
    <t>WC591</t>
  </si>
  <si>
    <t>0835965562</t>
  </si>
  <si>
    <t>Microsoft 365 Business Premium+Microsoft Defender for Office 365 (Plan 2)</t>
  </si>
  <si>
    <t>Dian Leff</t>
  </si>
  <si>
    <t>dian@WearCheckRS.com</t>
  </si>
  <si>
    <t>dian@wearcheckrs.com</t>
  </si>
  <si>
    <t>WCN008</t>
  </si>
  <si>
    <t>0817614612</t>
  </si>
  <si>
    <t>Freddy-Ben Gariseb</t>
  </si>
  <si>
    <t>Freddy-Ben@WearCheckRS.com</t>
  </si>
  <si>
    <t>Freddy-Ben@wearcheckRS.com</t>
  </si>
  <si>
    <t>WCN004</t>
  </si>
  <si>
    <t>264813707010</t>
  </si>
  <si>
    <t>Gabriel</t>
  </si>
  <si>
    <t>Gabriel@WearCheckRS.com</t>
  </si>
  <si>
    <t>Gabriel Shikongo Nuunyango</t>
  </si>
  <si>
    <t>gabriel@wearcheckrs.com</t>
  </si>
  <si>
    <t>WCN007</t>
  </si>
  <si>
    <t>+264 81 364 5524</t>
  </si>
  <si>
    <t>Rohan Willer</t>
  </si>
  <si>
    <t>rohan@WearCheckRS.com</t>
  </si>
  <si>
    <t>Hermanus Johannes Willer</t>
  </si>
  <si>
    <t>rohan@wearcheckrs.com</t>
  </si>
  <si>
    <t>WC381</t>
  </si>
  <si>
    <t>0812165890</t>
  </si>
  <si>
    <t>Microsoft 365 Business Premium+Microsoft Defender for Office 365 (Plan 2)+Microsoft Power Automate Free</t>
  </si>
  <si>
    <t>AFS Application</t>
  </si>
  <si>
    <t>afs_app@WearCheckRS.com</t>
  </si>
  <si>
    <t>Mapped by rule</t>
  </si>
  <si>
    <t>Generic/shared/service account defaulted to RS per instruction</t>
  </si>
  <si>
    <t>Microsoft Power Automate Free+Exchange Online (Plan 1)</t>
  </si>
  <si>
    <t>Admin</t>
  </si>
  <si>
    <t>admin@WearCheckRS.com</t>
  </si>
  <si>
    <t>Microsoft Defender for Office 365 (Plan 2)+Microsoft Fabric (Free)+Microsoft 365 E3</t>
  </si>
  <si>
    <t>Adri Ludick</t>
  </si>
  <si>
    <t>A.Ludick@WearCheckRS.com</t>
  </si>
  <si>
    <t>a.ludick@wearcheckRS.com</t>
  </si>
  <si>
    <t>WC492</t>
  </si>
  <si>
    <t>GP Consult</t>
  </si>
  <si>
    <t>0832816896</t>
  </si>
  <si>
    <t>Microsoft 365 Business Premium+Microsoft Copilot Studio Viral Trial+Microsoft Defender for Office 365 (Plan 2)+Microsoft Power Automate Free</t>
  </si>
  <si>
    <t>Adriaan Bouwer</t>
  </si>
  <si>
    <t>adriaanb@WearCheckRS.com</t>
  </si>
  <si>
    <t>Adriaan Pertus Johannes Bouwer</t>
  </si>
  <si>
    <t>adriaanb@wearcheckrs.com</t>
  </si>
  <si>
    <t>WC383</t>
  </si>
  <si>
    <t>KwaZulu Natal</t>
  </si>
  <si>
    <t>0608498504</t>
  </si>
  <si>
    <t>Microsoft Defender for Office 365 (Plan 2)+Microsoft Power Automate Free+Microsoft 365 Business Standard+Microsoft Fabric (Free)</t>
  </si>
  <si>
    <t>Alex Outram</t>
  </si>
  <si>
    <t>Alex@WearCheckRS.com</t>
  </si>
  <si>
    <t>Alexander Outram</t>
  </si>
  <si>
    <t>alex@wearcheckrs.com</t>
  </si>
  <si>
    <t>WEC105</t>
  </si>
  <si>
    <t>RBMR and PMR</t>
  </si>
  <si>
    <t>0662213616 / 0720164289</t>
  </si>
  <si>
    <t>Microsoft Defender for Office 365 (Plan 2)+Microsoft Power Automate Free+Microsoft Fabric (Free)+Microsoft 365 Business Standard</t>
  </si>
  <si>
    <t>Allan Stuurman</t>
  </si>
  <si>
    <t>Allan@WearCheckRS.com</t>
  </si>
  <si>
    <t>allan@wearcheckrs.com</t>
  </si>
  <si>
    <t>WEC123</t>
  </si>
  <si>
    <t>Samancor - ECM Tweefontein</t>
  </si>
  <si>
    <t>0799121301</t>
  </si>
  <si>
    <t>Andrew Robb</t>
  </si>
  <si>
    <t>Andrew@wearcheckrs.com</t>
  </si>
  <si>
    <t>Andrew John  Walker Robb</t>
  </si>
  <si>
    <t>andrew@wearcheckRS.com</t>
  </si>
  <si>
    <t>WEC103</t>
  </si>
  <si>
    <t>Remote Centre</t>
  </si>
  <si>
    <t>0636504444</t>
  </si>
  <si>
    <t>Microsoft 365 Business Premium+Microsoft Defender for Office 365 (Plan 2)+Microsoft Fabric (Free)</t>
  </si>
  <si>
    <t>Annah Modutwane</t>
  </si>
  <si>
    <t>annahm@WearCheckRS.com</t>
  </si>
  <si>
    <t>Annah Seipone Modutwane</t>
  </si>
  <si>
    <t>annahm@wearcheckrs.com</t>
  </si>
  <si>
    <t>WC484</t>
  </si>
  <si>
    <t>Valterra - Mototolo</t>
  </si>
  <si>
    <t>0833579812</t>
  </si>
  <si>
    <t>Annemie Willer</t>
  </si>
  <si>
    <t>annemie@WearCheckRS.com</t>
  </si>
  <si>
    <t>annemie@wearcheckrs.com</t>
  </si>
  <si>
    <t>WC319</t>
  </si>
  <si>
    <t>Longmeadow H/O</t>
  </si>
  <si>
    <t>0716096197</t>
  </si>
  <si>
    <t>Microsoft Defender for Office 365 (Plan 2)+Power BI Premium Per User+Microsoft Copilot Studio Viral Trial+Microsoft Power Apps Plan 2 Trial+Microsoft 365 E3+Microsoft Fabric (Free)+Microsoft Power Automate Free</t>
  </si>
  <si>
    <t>Aubrey Tshabalala</t>
  </si>
  <si>
    <t>Aubrey@WearCheckRS.com</t>
  </si>
  <si>
    <t>aubrey@wearcheckRS.com</t>
  </si>
  <si>
    <t>WEC114</t>
  </si>
  <si>
    <t>0824871527</t>
  </si>
  <si>
    <t>Bernard Lopi Molangoane</t>
  </si>
  <si>
    <t>lopi@WearCheckRS.com</t>
  </si>
  <si>
    <t>lopim@wearcheck.co.za</t>
  </si>
  <si>
    <t>WC269</t>
  </si>
  <si>
    <t>0636888886</t>
  </si>
  <si>
    <t>Betty Monyepao</t>
  </si>
  <si>
    <t>betty@WearCheckRS.com</t>
  </si>
  <si>
    <t>Mmatapa Betty Monyepao</t>
  </si>
  <si>
    <t>betty@wearcheckrs.com</t>
  </si>
  <si>
    <t>WC465</t>
  </si>
  <si>
    <t>0768125164</t>
  </si>
  <si>
    <t>Bianka De Beer</t>
  </si>
  <si>
    <t>Bianka@WearCheckRS.com</t>
  </si>
  <si>
    <t>Bianka de Beer</t>
  </si>
  <si>
    <t>WEC142</t>
  </si>
  <si>
    <t>0740317981</t>
  </si>
  <si>
    <t>Microsoft Power Automate Free+Microsoft Power Apps Plan 2 Trial+Microsoft Fabric (Free)+Microsoft Copilot Studio Viral Trial+Microsoft Power Apps for Developer+Power Pages vTrial for Makers+Microsoft Defender for Office 365 (Plan 2)+Dynamics 365 Customer Insights Self-Service+Microsoft 365 Business Premium</t>
  </si>
  <si>
    <t>CJ Woller</t>
  </si>
  <si>
    <t>cj@WearCheckRS.com</t>
  </si>
  <si>
    <t>cj@wearcheckrs.com</t>
  </si>
  <si>
    <t>WEC120</t>
  </si>
  <si>
    <t>Chicco Tivane</t>
  </si>
  <si>
    <t>chicco@WearCheckRS.com</t>
  </si>
  <si>
    <t>Chicco Fransisco Tivane</t>
  </si>
  <si>
    <t>chicco@wearcheckrs.com</t>
  </si>
  <si>
    <t>WC380</t>
  </si>
  <si>
    <t>Steelpoort</t>
  </si>
  <si>
    <t>0818190051</t>
  </si>
  <si>
    <t>Chris Mostert</t>
  </si>
  <si>
    <t>ChrisM@wearcheckrs.com</t>
  </si>
  <si>
    <t>chrism@wearcheckrs.com</t>
  </si>
  <si>
    <t>WEC100</t>
  </si>
  <si>
    <t>Springs</t>
  </si>
  <si>
    <t>0636922876</t>
  </si>
  <si>
    <t>Daniel Molapo</t>
  </si>
  <si>
    <t>daniel@WearCheckRS.com</t>
  </si>
  <si>
    <t>Tshegofatsho Daniel Molapo</t>
  </si>
  <si>
    <t>daniel@wearcheckrs.com</t>
  </si>
  <si>
    <t>WC402</t>
  </si>
  <si>
    <t>0828023079</t>
  </si>
  <si>
    <t>Microsoft Defender for Office 365 (Plan 2)+Microsoft 365 E3+Microsoft Fabric (Free)+Microsoft Power Automate Free</t>
  </si>
  <si>
    <t>David Viljoen</t>
  </si>
  <si>
    <t>David@WearCheckRS.com</t>
  </si>
  <si>
    <t>David@wearcheckrs.com</t>
  </si>
  <si>
    <t>WEC081</t>
  </si>
  <si>
    <t>Roamer</t>
  </si>
  <si>
    <t>0810106409</t>
  </si>
  <si>
    <t>Microsoft Defender for Office 365 (Plan 2)+Microsoft Fabric (Free)+Microsoft 365 Business Standard+Microsoft Power Automate Free</t>
  </si>
  <si>
    <t>Deon Gaarkeuken</t>
  </si>
  <si>
    <t>Deon@WearCheckRS.com</t>
  </si>
  <si>
    <t>deon@wearcheckrs.com</t>
  </si>
  <si>
    <t>WC358</t>
  </si>
  <si>
    <t>0712524040</t>
  </si>
  <si>
    <t>Microsoft Defender for Office 365 (Plan 2)+Power BI Premium Per User+Microsoft 365 E3+Microsoft Fabric (Free)+Microsoft Power Automate Free</t>
  </si>
  <si>
    <t>Desmond Ngomane</t>
  </si>
  <si>
    <t>desmond@WearCheckRS.com</t>
  </si>
  <si>
    <t>desmond@wearcheckrs.com</t>
  </si>
  <si>
    <t>WEC086</t>
  </si>
  <si>
    <t>0796083125</t>
  </si>
  <si>
    <t>Douglas Prout-Jones</t>
  </si>
  <si>
    <t>douglas@WearCheckRS.com</t>
  </si>
  <si>
    <t>Douglas@WearcheckRS.com</t>
  </si>
  <si>
    <t>WEC119</t>
  </si>
  <si>
    <t>Valterra - Waterval</t>
  </si>
  <si>
    <t>0832855788 / 0823125521</t>
  </si>
  <si>
    <t>Eben Prinsloo</t>
  </si>
  <si>
    <t>eben@WearCheckRS.com</t>
  </si>
  <si>
    <t>eben@wearcheckrs.com</t>
  </si>
  <si>
    <t>WEC122</t>
  </si>
  <si>
    <t>0824146986</t>
  </si>
  <si>
    <t>Microsoft Defender for Office 365 (Plan 2)+Microsoft 365 Business Standard+Microsoft Fabric (Free)</t>
  </si>
  <si>
    <t>Edward Pieterse Jnr</t>
  </si>
  <si>
    <t>edwardfp@WearCheckRS.com</t>
  </si>
  <si>
    <t>Edward Frederick IV Pieterse</t>
  </si>
  <si>
    <t>edwardfp@wearcheckrs.com</t>
  </si>
  <si>
    <t>WC274</t>
  </si>
  <si>
    <t>0837930923</t>
  </si>
  <si>
    <t>Microsoft Defender for Office 365 (Plan 2)+Microsoft Power Apps for Developer+Microsoft 365 E3+Microsoft Fabric (Free)+Microsoft Power Automate Free</t>
  </si>
  <si>
    <t>Edward Pieterse Snr</t>
  </si>
  <si>
    <t>epieterse@wearcheckrs.com</t>
  </si>
  <si>
    <t>Edward Pieterse</t>
  </si>
  <si>
    <t>WC271</t>
  </si>
  <si>
    <t>0829057637</t>
  </si>
  <si>
    <t>Microsoft 365 Business Premium+Microsoft Defender for Office 365 (Plan 2)+Microsoft Power Automate Free+Microsoft Fabric (Free)</t>
  </si>
  <si>
    <t>Eugene Scheepers</t>
  </si>
  <si>
    <t>eugene@WearCheckRS.com</t>
  </si>
  <si>
    <t>eugene@wearcheckrs.com</t>
  </si>
  <si>
    <t>WEC090</t>
  </si>
  <si>
    <t>Neopak - Rosslyn</t>
  </si>
  <si>
    <t>0790542385</t>
  </si>
  <si>
    <t>FLIRIRVM1</t>
  </si>
  <si>
    <t>flirirvm1@WearCheckRS.com</t>
  </si>
  <si>
    <t>Francios Pretorius</t>
  </si>
  <si>
    <t>franciosp@WearCheckRS.com</t>
  </si>
  <si>
    <t>Michael Francios Pretorius</t>
  </si>
  <si>
    <t>Franciosp@wearcheckRS.com</t>
  </si>
  <si>
    <t>WEC080</t>
  </si>
  <si>
    <t>0832773047</t>
  </si>
  <si>
    <t>Francois Pienaar</t>
  </si>
  <si>
    <t>FrancoisP@WearCheckRS.com</t>
  </si>
  <si>
    <t>Jozua Francois Joubert Pienaar</t>
  </si>
  <si>
    <t>francoisp@wearcheckrs.com</t>
  </si>
  <si>
    <t>WEC111</t>
  </si>
  <si>
    <t>KwaZulu Natal - Hillside</t>
  </si>
  <si>
    <t>0785618579</t>
  </si>
  <si>
    <t>Francois van Eden</t>
  </si>
  <si>
    <t>francoisve@wearcheckrs.com</t>
  </si>
  <si>
    <t>Francois Jacobus van Eeden</t>
  </si>
  <si>
    <t>WC287</t>
  </si>
  <si>
    <t>0828023072</t>
  </si>
  <si>
    <t>Microsoft 365 Business Premium+Microsoft Defender for Office 365 (Plan 2)+Microsoft Fabric (Free)+Microsoft Power Automate Free</t>
  </si>
  <si>
    <t>Gustav Lourens</t>
  </si>
  <si>
    <t>gustav@WearCheckRS.com</t>
  </si>
  <si>
    <t>gustav@wearcheckrs.com</t>
  </si>
  <si>
    <t>WC270</t>
  </si>
  <si>
    <t>0829057631</t>
  </si>
  <si>
    <t>Hannest Koegelenberg</t>
  </si>
  <si>
    <t>hannest@WearCheckRS.com</t>
  </si>
  <si>
    <t>hannest@wearcheckrs.com</t>
  </si>
  <si>
    <t>WEC047</t>
  </si>
  <si>
    <t>0823832542</t>
  </si>
  <si>
    <t>Hein Coetzer</t>
  </si>
  <si>
    <t>heinc@WearCheckRS.com</t>
  </si>
  <si>
    <t>heinc@wearcheckrs.com</t>
  </si>
  <si>
    <t>WEC129</t>
  </si>
  <si>
    <t>Samancor - TAS</t>
  </si>
  <si>
    <t>0828887419</t>
  </si>
  <si>
    <t>Heinrich Kusel</t>
  </si>
  <si>
    <t>Heinrich@WearCheckRS.com</t>
  </si>
  <si>
    <t>Fritz Kusel</t>
  </si>
  <si>
    <t>heinrich@wearcheckrs.com</t>
  </si>
  <si>
    <t>WEC134</t>
  </si>
  <si>
    <t>0796959474</t>
  </si>
  <si>
    <t>Henry Mherekumombe</t>
  </si>
  <si>
    <t>Henry@WearCheckRS.com</t>
  </si>
  <si>
    <t>henry@wearcheckrs.com</t>
  </si>
  <si>
    <t>WEC098</t>
  </si>
  <si>
    <t>0664844117</t>
  </si>
  <si>
    <t>Jaco De Beer</t>
  </si>
  <si>
    <t>jacodb@WearCheckRS.com</t>
  </si>
  <si>
    <t>Theunis Gerhardus Jacobus de Beer</t>
  </si>
  <si>
    <t>jacodb@wearcheckrs.com</t>
  </si>
  <si>
    <t>WEC097</t>
  </si>
  <si>
    <t>0715236313</t>
  </si>
  <si>
    <t>Jaco Willer</t>
  </si>
  <si>
    <t>jaco@wearcheckrs.com</t>
  </si>
  <si>
    <t>Jacobus Johannes Willer</t>
  </si>
  <si>
    <t>WC352</t>
  </si>
  <si>
    <t>0762681425</t>
  </si>
  <si>
    <t>James Tshabalala</t>
  </si>
  <si>
    <t>james@WearCheckRS.com</t>
  </si>
  <si>
    <t>James Papayito Tshabalala</t>
  </si>
  <si>
    <t>WC236</t>
  </si>
  <si>
    <t>0662479987</t>
  </si>
  <si>
    <t>Jean-Jacques</t>
  </si>
  <si>
    <t>jj@WearCheckRS.com</t>
  </si>
  <si>
    <t>Jean Jacques de Beer</t>
  </si>
  <si>
    <t>jj@wearcheckrs.com</t>
  </si>
  <si>
    <t>WEC137</t>
  </si>
  <si>
    <t>0676700396</t>
  </si>
  <si>
    <t>Microsoft 365 Business Premium+Microsoft Power Automate Free+Microsoft Fabric (Free)+Microsoft Defender for Office 365 (Plan 2)</t>
  </si>
  <si>
    <t>Johandre Oosthuizen</t>
  </si>
  <si>
    <t>johandre@WearCheckRS.com</t>
  </si>
  <si>
    <t>Johannes Andréas Oosthuizen</t>
  </si>
  <si>
    <t>johandre@wearcheckrs.com</t>
  </si>
  <si>
    <t>WEC089</t>
  </si>
  <si>
    <t>Samancor - Mooinooi</t>
  </si>
  <si>
    <t>0834373969</t>
  </si>
  <si>
    <t>Kevin  Henwood</t>
  </si>
  <si>
    <t>Kevin@WearCheckRS.com</t>
  </si>
  <si>
    <t>Kevin Henwood</t>
  </si>
  <si>
    <t>kevin@wearcheckrs.com</t>
  </si>
  <si>
    <t>WEC135</t>
  </si>
  <si>
    <t>0829072077</t>
  </si>
  <si>
    <t>Leon Coetzee</t>
  </si>
  <si>
    <t>leon@WearCheckRS.com</t>
  </si>
  <si>
    <t>Leon@wearcheckrs.com</t>
  </si>
  <si>
    <t>WC455</t>
  </si>
  <si>
    <t>0832881463</t>
  </si>
  <si>
    <t>Lesego Khuthwane</t>
  </si>
  <si>
    <t>Lesego@WearCheckRS.com</t>
  </si>
  <si>
    <t>WEC126</t>
  </si>
  <si>
    <t>0849892260</t>
  </si>
  <si>
    <t>Microsoft 365 E3+Power BI Premium Per User+Microsoft Defender for Office 365 (Plan 2)+Microsoft Power Apps for Developer+Power Pages vTrial for Makers+Microsoft Fabric (Free)+Microsoft Power Apps Plan 2 Trial+Microsoft Copilot Studio Viral Trial+Microsoft Power Automate Free</t>
  </si>
  <si>
    <t>Lloyd Ngobeni</t>
  </si>
  <si>
    <t>Lloyd@WearCheckRS.com</t>
  </si>
  <si>
    <t>lloyd@wearcheckrs.com</t>
  </si>
  <si>
    <t>WEC099</t>
  </si>
  <si>
    <t>0664844084</t>
  </si>
  <si>
    <t>Londolani  Managa</t>
  </si>
  <si>
    <t>LondolaniM@WearCheckRS.com</t>
  </si>
  <si>
    <t>Londolani Managa</t>
  </si>
  <si>
    <t>londolanim@wearcheckrs.com</t>
  </si>
  <si>
    <t>WC648</t>
  </si>
  <si>
    <t>Samancor - MFC</t>
  </si>
  <si>
    <t>0711682839</t>
  </si>
  <si>
    <t>Louis Peacock</t>
  </si>
  <si>
    <t>louis@WearCheckRS.com</t>
  </si>
  <si>
    <t>Louis Robert Peacock</t>
  </si>
  <si>
    <t>louis@wearcheckrs.com</t>
  </si>
  <si>
    <t>WC277</t>
  </si>
  <si>
    <t>Microsoft Defender for Office 365 (Plan 2)+Power BI Premium Per User+Microsoft 365 E3+Microsoft Power Automate Free</t>
  </si>
  <si>
    <t>Louis Zoho</t>
  </si>
  <si>
    <t>Louis_Zoho@WearCheckRS.com</t>
  </si>
  <si>
    <t>Lubby Lubis</t>
  </si>
  <si>
    <t>lubby@WearCheckRS.com</t>
  </si>
  <si>
    <t>Labby Jeffrey Lubis</t>
  </si>
  <si>
    <t>lubby@wearcheckrs.com</t>
  </si>
  <si>
    <t>WEC118</t>
  </si>
  <si>
    <t>Samancor - Doornbosch</t>
  </si>
  <si>
    <t>0796915943</t>
  </si>
  <si>
    <t>Lucas Luus</t>
  </si>
  <si>
    <t>lucas@WearCheckRS.com</t>
  </si>
  <si>
    <t>Lucas Johannes Bartel Luus</t>
  </si>
  <si>
    <t>lucas@wearcheckrs.com</t>
  </si>
  <si>
    <t>WEC068</t>
  </si>
  <si>
    <t>Kathu</t>
  </si>
  <si>
    <t>0763455962</t>
  </si>
  <si>
    <t>Mandé Coetzee</t>
  </si>
  <si>
    <t>Mande@WearCheckRS.com</t>
  </si>
  <si>
    <t>mande@wearcheckrs.com</t>
  </si>
  <si>
    <t>WEC116</t>
  </si>
  <si>
    <t>079 128 9133</t>
  </si>
  <si>
    <t>Microsoft Defender for Office 365 (Plan 2)+Microsoft Fabric (Free)+Microsoft Power Automate Free+Microsoft 365 E3</t>
  </si>
  <si>
    <t>Marcel Schoeman</t>
  </si>
  <si>
    <t>Marcel@WearCheckRS.com</t>
  </si>
  <si>
    <t>marcel@wearcheckrs.com</t>
  </si>
  <si>
    <t>WEC102</t>
  </si>
  <si>
    <t>0767946353</t>
  </si>
  <si>
    <t>Mariette Du Rand</t>
  </si>
  <si>
    <t>mariette@WearCheckRS.com</t>
  </si>
  <si>
    <t>Mariette du Rand</t>
  </si>
  <si>
    <t>mariette@wearcheckrs.com</t>
  </si>
  <si>
    <t>WEC109</t>
  </si>
  <si>
    <t>0837835814</t>
  </si>
  <si>
    <t>Marshall Rasimphi</t>
  </si>
  <si>
    <t>marshallr@WearCheckRS.com</t>
  </si>
  <si>
    <t>Ailwel Marshall Rasimphi</t>
  </si>
  <si>
    <t>marshallr@wearcheckrs.com</t>
  </si>
  <si>
    <t>WEC094</t>
  </si>
  <si>
    <t>0768219444</t>
  </si>
  <si>
    <t>Marthinus Admin Account</t>
  </si>
  <si>
    <t>marthinus_admin@wearcheckrs.com</t>
  </si>
  <si>
    <t>Microsoft Power Automate Free+Microsoft Fabric (Free)</t>
  </si>
  <si>
    <t>Martiens Van Aarde</t>
  </si>
  <si>
    <t>martiens@WearCheckRS.com</t>
  </si>
  <si>
    <t>Marthinus Jacobus van Aarde</t>
  </si>
  <si>
    <t>martiens@wearcheckrs.com</t>
  </si>
  <si>
    <t>WEC106</t>
  </si>
  <si>
    <t>Eskom - Matimba</t>
  </si>
  <si>
    <t>0834550909</t>
  </si>
  <si>
    <t>Megan Salzwedel</t>
  </si>
  <si>
    <t>Megan@wearcheckrs.com</t>
  </si>
  <si>
    <t>megan@wearcheckrs.com</t>
  </si>
  <si>
    <t>WEC104</t>
  </si>
  <si>
    <t>0720591125</t>
  </si>
  <si>
    <t>Microsoft 365 Business Premium+Microsoft Defender for Office 365 (Plan 2)+Microsoft Power Apps Plan 2 Trial+Microsoft Fabric (Free)+Microsoft Power Automate Free</t>
  </si>
  <si>
    <t>Meshack Nxumalo</t>
  </si>
  <si>
    <t>meshack@WearCheckRS.com</t>
  </si>
  <si>
    <t>Meshack Welcome Nxumalo</t>
  </si>
  <si>
    <t>meshack@wearcheckrs.com</t>
  </si>
  <si>
    <t>WEC088</t>
  </si>
  <si>
    <t>0638165404</t>
  </si>
  <si>
    <t>Micheal Masemola</t>
  </si>
  <si>
    <t>michealm@WearCheckRS.com</t>
  </si>
  <si>
    <t>Seporo Micheal Masemola</t>
  </si>
  <si>
    <t>michealm@wearcheckrs.com</t>
  </si>
  <si>
    <t>WC291</t>
  </si>
  <si>
    <t>0820828925</t>
  </si>
  <si>
    <t>Micheal Pretorius</t>
  </si>
  <si>
    <t>micheal@WearCheckRS.com</t>
  </si>
  <si>
    <t>Micheal Francios Pretorius</t>
  </si>
  <si>
    <t>micheal@wearcheckrs.com</t>
  </si>
  <si>
    <t>WEC076</t>
  </si>
  <si>
    <t>0828864900</t>
  </si>
  <si>
    <t>Morne Alberts</t>
  </si>
  <si>
    <t>mornea@wearcheckrs.com</t>
  </si>
  <si>
    <t>Mórne Alberts</t>
  </si>
  <si>
    <t>WC361</t>
  </si>
  <si>
    <t>0810132168</t>
  </si>
  <si>
    <t>Nadhira Bux</t>
  </si>
  <si>
    <t>Nadhira@WearCheckRS.com</t>
  </si>
  <si>
    <t>nadhira@wearcheckrs.com</t>
  </si>
  <si>
    <t>WEC113</t>
  </si>
  <si>
    <t>0625831366</t>
  </si>
  <si>
    <t>Microsoft 365 Business Premium+Microsoft Defender for Office 365 (Plan 2)+Microsoft Power Apps for Developer+Power Pages vTrial for Makers+Microsoft Copilot Studio Viral Trial+Microsoft Power Automate Free+Microsoft Fabric (Free)</t>
  </si>
  <si>
    <t>No Reply</t>
  </si>
  <si>
    <t>noreply@WearCheckRS.com</t>
  </si>
  <si>
    <t>Nomvula  Mkhize</t>
  </si>
  <si>
    <t>NomvulaM@WearCheckRS.com</t>
  </si>
  <si>
    <t>Nomvula Mkhize</t>
  </si>
  <si>
    <t>nomvulam@wearcheckrs.com</t>
  </si>
  <si>
    <t>WC651</t>
  </si>
  <si>
    <t>0747023211</t>
  </si>
  <si>
    <t>Passwell Mashoeou</t>
  </si>
  <si>
    <t>passwell@WearCheckRS.com</t>
  </si>
  <si>
    <t>Putaneng Paswell Mashoeu</t>
  </si>
  <si>
    <t>passwell@wearcheckrs.com</t>
  </si>
  <si>
    <t>WC348</t>
  </si>
  <si>
    <t>06364888867</t>
  </si>
  <si>
    <t>Peet Peacock</t>
  </si>
  <si>
    <t>Peet@WearCheckRS.com</t>
  </si>
  <si>
    <t>Petrus Johannes Peacock</t>
  </si>
  <si>
    <t>Peet@wearcheckrs.com</t>
  </si>
  <si>
    <t>WC520</t>
  </si>
  <si>
    <t>0716700710</t>
  </si>
  <si>
    <t>Microsoft Defender for Office 365 (Plan 2)+Microsoft 365 E3</t>
  </si>
  <si>
    <t>Percy Hall</t>
  </si>
  <si>
    <t>Percy@WearCheckRS.com</t>
  </si>
  <si>
    <t>percy@wearcheckrs.com</t>
  </si>
  <si>
    <t>WEC115</t>
  </si>
  <si>
    <t>Seriti - Khutala</t>
  </si>
  <si>
    <t>0826828862 / 0827307344</t>
  </si>
  <si>
    <t>Permission Melele</t>
  </si>
  <si>
    <t>permission@WearCheckRS.com</t>
  </si>
  <si>
    <t>Katishi Permission Malele</t>
  </si>
  <si>
    <t>permission@wearcheckrs.com</t>
  </si>
  <si>
    <t>WC393</t>
  </si>
  <si>
    <t>Philip Schutte</t>
  </si>
  <si>
    <t>philip@WearCheckRS.com</t>
  </si>
  <si>
    <t>Philippus Jacobus Wilhelmus (Philip) Schutte</t>
  </si>
  <si>
    <t>philip@wearcheckrs.com</t>
  </si>
  <si>
    <t>WC253</t>
  </si>
  <si>
    <t>0769829774</t>
  </si>
  <si>
    <t>Microsoft Defender for Office 365 (Plan 2)+Microsoft Fabric (Free)+Microsoft 365 E3+Microsoft Power Automate Free</t>
  </si>
  <si>
    <t>Philip Zoho</t>
  </si>
  <si>
    <t>Philip_Zoho@WearCheckRS.com</t>
  </si>
  <si>
    <t>Power Bi Gateway Service Account</t>
  </si>
  <si>
    <t>srv_acc_pbi_gw@WearCheckRS.com</t>
  </si>
  <si>
    <t>Microsoft Power Automate Free+Power BI Premium Per User+Exchange Online (Plan 1)</t>
  </si>
  <si>
    <t>Printer  Account</t>
  </si>
  <si>
    <t>printer@WearCheckRS.com</t>
  </si>
  <si>
    <t>Rakcal Balaram</t>
  </si>
  <si>
    <t>rakcal@WearCheckRS.com</t>
  </si>
  <si>
    <t>Rakcal Monroe Balaram</t>
  </si>
  <si>
    <t>rakcal@wearcheckrs.com</t>
  </si>
  <si>
    <t>WEC074</t>
  </si>
  <si>
    <t>KwaZulu Natal - Tronox</t>
  </si>
  <si>
    <t>0749705467</t>
  </si>
  <si>
    <t>Reinier Kalp</t>
  </si>
  <si>
    <t>reinierk@wearcheckrs.com</t>
  </si>
  <si>
    <t>WC382</t>
  </si>
  <si>
    <t>0810132176</t>
  </si>
  <si>
    <t>Remote Analysis Centre Admin</t>
  </si>
  <si>
    <t>rac.admin@WearCheckRS.com</t>
  </si>
  <si>
    <t>Riaan De Beer</t>
  </si>
  <si>
    <t>RiaandB@WearCheckRS.com</t>
  </si>
  <si>
    <t>Riaan de Beer</t>
  </si>
  <si>
    <t>riaandb@wearcheckrs.com</t>
  </si>
  <si>
    <t>WC363</t>
  </si>
  <si>
    <t>0745880347</t>
  </si>
  <si>
    <t>Rynhardt Meyer</t>
  </si>
  <si>
    <t>Rynhardt@WearCheckRS.com</t>
  </si>
  <si>
    <t>rynhardt@wearcheckrs.com</t>
  </si>
  <si>
    <t>WEC096</t>
  </si>
  <si>
    <t>0649557747</t>
  </si>
  <si>
    <t>Sergent Thlou</t>
  </si>
  <si>
    <t>sergent@WearCheckRS.com</t>
  </si>
  <si>
    <t>Sergant Sakhile Tlou</t>
  </si>
  <si>
    <t>sergent@wearcheckrs.com</t>
  </si>
  <si>
    <t>WC264</t>
  </si>
  <si>
    <t>Wearcheck</t>
  </si>
  <si>
    <t>0828827758</t>
  </si>
  <si>
    <t>Service Account SQL DB Mail</t>
  </si>
  <si>
    <t>srv_acc_sql_mail@WearCheckRS.com</t>
  </si>
  <si>
    <t>Service Account SSRS</t>
  </si>
  <si>
    <t>srv_acc_ssrs@WearCheckRS.com</t>
  </si>
  <si>
    <t>Power Automate per user plan+Microsoft Power Automate Free</t>
  </si>
  <si>
    <t>Shaun Janse van Rensburg</t>
  </si>
  <si>
    <t>shaun@WearCheckRS.com</t>
  </si>
  <si>
    <t>shaun@wearcheckrs.com</t>
  </si>
  <si>
    <t>WEC136</t>
  </si>
  <si>
    <t>082 497 1146</t>
  </si>
  <si>
    <t>Shivon Alberts</t>
  </si>
  <si>
    <t>Shivon@WearCheckRS.com</t>
  </si>
  <si>
    <t>Shivon Chantelle Alberts</t>
  </si>
  <si>
    <t>shivon@wearcheckrs.com</t>
  </si>
  <si>
    <t>WEC130</t>
  </si>
  <si>
    <t>0793152710</t>
  </si>
  <si>
    <t>Simon Mosima</t>
  </si>
  <si>
    <t>Simon@WearCheckRS.com</t>
  </si>
  <si>
    <t>Mokale Simon Mosima</t>
  </si>
  <si>
    <t>simon@wearcheckrs.com</t>
  </si>
  <si>
    <t>WC283</t>
  </si>
  <si>
    <t>0784570962</t>
  </si>
  <si>
    <t>Sipho Mathibela</t>
  </si>
  <si>
    <t>siphom@WearCheckRS.com</t>
  </si>
  <si>
    <t>Sipho Petros Mathibela</t>
  </si>
  <si>
    <t>siphom@wearcheckrs.com</t>
  </si>
  <si>
    <t>WEC039</t>
  </si>
  <si>
    <t>0795568398</t>
  </si>
  <si>
    <t>Sipho Zwane</t>
  </si>
  <si>
    <t>siphoz@WearCheckRS.com</t>
  </si>
  <si>
    <t>Sipho Petros Zwane</t>
  </si>
  <si>
    <t>siphoz@wearcheckrs.com</t>
  </si>
  <si>
    <t>WC360</t>
  </si>
  <si>
    <t>0839286268</t>
  </si>
  <si>
    <t>Thapelo Mohlala</t>
  </si>
  <si>
    <t>Thapelo@WearCheckRS.com</t>
  </si>
  <si>
    <t>Thapelo Pebetsi Mohlala</t>
  </si>
  <si>
    <t>Thapelo@wearCheckRS.com</t>
  </si>
  <si>
    <t>WEC132</t>
  </si>
  <si>
    <t>Samancor Tweefontein / Samancor Doornbosch</t>
  </si>
  <si>
    <t>0670222911</t>
  </si>
  <si>
    <t>Thomas Mdhlala</t>
  </si>
  <si>
    <t>thomas@WearCheckRS.com</t>
  </si>
  <si>
    <t>Thomas@wearcheckrs.com</t>
  </si>
  <si>
    <t>WC243</t>
  </si>
  <si>
    <t>PMR</t>
  </si>
  <si>
    <t>0783146873</t>
  </si>
  <si>
    <t>Thulani Tembe</t>
  </si>
  <si>
    <t>thulani@WearCheckRS.com</t>
  </si>
  <si>
    <t>thulani@wearcheckrs.com</t>
  </si>
  <si>
    <t>WEC062</t>
  </si>
  <si>
    <t>Samancor - Millcell</t>
  </si>
  <si>
    <t>0661753959</t>
  </si>
  <si>
    <t>Tonny Simelani</t>
  </si>
  <si>
    <t>tonny@WearCheckRS.com</t>
  </si>
  <si>
    <t>tonny@wearcheckrs.com</t>
  </si>
  <si>
    <t>WEC057</t>
  </si>
  <si>
    <t>0715340167</t>
  </si>
  <si>
    <t>Tsietsi Monnanyne</t>
  </si>
  <si>
    <t>tsietsi@WearCheckRS.com</t>
  </si>
  <si>
    <t>Tsietsi Petric Monnanyane</t>
  </si>
  <si>
    <t>tsietsi@wearcheckrs.com</t>
  </si>
  <si>
    <t>WEC133</t>
  </si>
  <si>
    <t>0630018652</t>
  </si>
  <si>
    <t>Microsoft Fabric (Free)+Microsoft 365 Business Standard</t>
  </si>
  <si>
    <t>Vernon Calvert</t>
  </si>
  <si>
    <t>Vernon@WearCheckRS.com</t>
  </si>
  <si>
    <t>vernon@wearcheckrs.com</t>
  </si>
  <si>
    <t>WEC124</t>
  </si>
  <si>
    <t>0714947499</t>
  </si>
  <si>
    <t>WCKRS-HSEQ</t>
  </si>
  <si>
    <t>HSEQ@WearCheckRS.com</t>
  </si>
  <si>
    <t>Wihan Willer</t>
  </si>
  <si>
    <t>Wihan@WearCheckRS.com</t>
  </si>
  <si>
    <t>Wihan Manu Willer</t>
  </si>
  <si>
    <t>wihan@wearcheckRS.com</t>
  </si>
  <si>
    <t>WEC127</t>
  </si>
  <si>
    <t>0646504720</t>
  </si>
  <si>
    <t>flirirvm2</t>
  </si>
  <si>
    <t>flirirvm2@WearCheckRS.com</t>
  </si>
  <si>
    <t>flirirvm3</t>
  </si>
  <si>
    <t>flirirvm3@WearCheckRS.com</t>
  </si>
  <si>
    <t>jordanlionmasters</t>
  </si>
  <si>
    <t>jordanlionmasters_gmail.com#EXT#@wearcheckrs.onmicrosoft.com</t>
  </si>
  <si>
    <t>no-reply-arc-oil@wearcheckrs.com</t>
  </si>
  <si>
    <t>no-reply-arc-oil@WearCheckRS.com</t>
  </si>
  <si>
    <t>Adri Ludick Old</t>
  </si>
  <si>
    <t>Adri.ludick@WearCheckRS.com</t>
  </si>
  <si>
    <t>Review</t>
  </si>
  <si>
    <t>Unassigned</t>
  </si>
  <si>
    <t>No employee match found in employee master</t>
  </si>
  <si>
    <t>Boitumelo Makgamatha</t>
  </si>
  <si>
    <t>Boitumelo@WearCheckRS.com</t>
  </si>
  <si>
    <t>Christene Fourie</t>
  </si>
  <si>
    <t>Christene@WearCheckRS.com</t>
  </si>
  <si>
    <t>chrstene@wearcheckrs.com</t>
  </si>
  <si>
    <t>Possible email alias match to chrstene@wearcheckrs.com</t>
  </si>
  <si>
    <t>Christian Geel</t>
  </si>
  <si>
    <t>Christian@WearCheckRS.com</t>
  </si>
  <si>
    <t>Microsoft Fabric (Free)+Microsoft Power Automate Free</t>
  </si>
  <si>
    <t>Christie</t>
  </si>
  <si>
    <t>christie.samancor@WearCheckRS.com</t>
  </si>
  <si>
    <t>Gladwin Sekharume</t>
  </si>
  <si>
    <t>GladwinS@WearCheckRS.com</t>
  </si>
  <si>
    <t>Ivan Langa</t>
  </si>
  <si>
    <t>Ivan@WearCheckRS.com</t>
  </si>
  <si>
    <t>Kenneth Moremi</t>
  </si>
  <si>
    <t>kenneth@WearCheckRS.com</t>
  </si>
  <si>
    <t>Kevin Jonker</t>
  </si>
  <si>
    <t>kevinj@WearCheckRS.com</t>
  </si>
  <si>
    <t>Possible email alias match to kevin@wearcheckrs.com</t>
  </si>
  <si>
    <t>Lea Bodenstein</t>
  </si>
  <si>
    <t>Lea@WearCheckRS.com</t>
  </si>
  <si>
    <t>Mandiso Muchanga</t>
  </si>
  <si>
    <t>Mandiso@WearCheckRS.com</t>
  </si>
  <si>
    <t>Marthinus Steenkamp</t>
  </si>
  <si>
    <t>Marthinus@WearCheckRS.com</t>
  </si>
  <si>
    <t>Microsoft Defender for Office 365 (Plan 2)+Microsoft 365 E3+Microsoft Fabric (Free)</t>
  </si>
  <si>
    <t>Martin Prinsloo</t>
  </si>
  <si>
    <t>martin.prinsloo@WearCheckRS.com</t>
  </si>
  <si>
    <t>Nicolien Schutte</t>
  </si>
  <si>
    <t>Nicoliens@WearCheckRS.com</t>
  </si>
  <si>
    <t>Peter</t>
  </si>
  <si>
    <t>Peter@WearCheckRS.com</t>
  </si>
  <si>
    <t>Stephanie Du Plessis</t>
  </si>
  <si>
    <t>stephanied@wearcheckrs.com</t>
  </si>
  <si>
    <t>Thabang Mathumba</t>
  </si>
  <si>
    <t>thabang@WearCheckRS.com</t>
  </si>
  <si>
    <t>Tumelo</t>
  </si>
  <si>
    <t>tumelo.samancor@WearCheckRS.com</t>
  </si>
  <si>
    <t>Monthly Invoice Amount</t>
  </si>
  <si>
    <t>Active Users on SKU</t>
  </si>
  <si>
    <t>Allocated Cost</t>
  </si>
  <si>
    <t>Suggested Division</t>
  </si>
  <si>
    <t>Review Type</t>
  </si>
  <si>
    <t>Licenses Raw</t>
  </si>
  <si>
    <t>Low confidence match</t>
  </si>
  <si>
    <t>Unassigned / no confident match</t>
  </si>
  <si>
    <t>Company Email</t>
  </si>
  <si>
    <t>Employee Name</t>
  </si>
  <si>
    <t>Employee Code</t>
  </si>
  <si>
    <t>Department 1</t>
  </si>
  <si>
    <t>Department 2</t>
  </si>
  <si>
    <t>Derived Division</t>
  </si>
  <si>
    <t>Job Title</t>
  </si>
  <si>
    <t>Supervisor</t>
  </si>
  <si>
    <t>Cell Number</t>
  </si>
  <si>
    <t>Status</t>
  </si>
  <si>
    <t>Source Row</t>
  </si>
  <si>
    <t>andree@wearcheck.co.za</t>
  </si>
  <si>
    <t>André Erasmus</t>
  </si>
  <si>
    <t>WC511</t>
  </si>
  <si>
    <t>ARC-TCA</t>
  </si>
  <si>
    <t>Machinery Inspector / Auditor</t>
  </si>
  <si>
    <t>0833088571</t>
  </si>
  <si>
    <t>Submitted</t>
  </si>
  <si>
    <t>ARC-RCA</t>
  </si>
  <si>
    <t>RCA Inspector</t>
  </si>
  <si>
    <t>Electrical Inspector</t>
  </si>
  <si>
    <t>Admin and Finance Assistant</t>
  </si>
  <si>
    <t>greeffm@wearcheck.co.za</t>
  </si>
  <si>
    <t>Daniel Greef Meintjies</t>
  </si>
  <si>
    <t>WC528</t>
  </si>
  <si>
    <t>ARC-NDT</t>
  </si>
  <si>
    <t>Inspector (Lifting and NDT)</t>
  </si>
  <si>
    <t>0674121318</t>
  </si>
  <si>
    <t>ARC TC Machinery Inspector</t>
  </si>
  <si>
    <t>Administration Assistant</t>
  </si>
  <si>
    <t>Senior Machinery Inspector</t>
  </si>
  <si>
    <t>Inspector</t>
  </si>
  <si>
    <t>janb@wearcheck.co.za</t>
  </si>
  <si>
    <t>Jan Booysens</t>
  </si>
  <si>
    <t>WC496</t>
  </si>
  <si>
    <t>0718665249</t>
  </si>
  <si>
    <t>Machinery Inspector</t>
  </si>
  <si>
    <t>Not Submitted</t>
  </si>
  <si>
    <t>jeanj@wearcheck.co.za</t>
  </si>
  <si>
    <t>Jean-Pierre Jordaan</t>
  </si>
  <si>
    <t>WC527</t>
  </si>
  <si>
    <t>0674121382</t>
  </si>
  <si>
    <t>ARC TC Inspector</t>
  </si>
  <si>
    <t>Senior Inspector</t>
  </si>
  <si>
    <t>janniel@wearcheck.co.za</t>
  </si>
  <si>
    <t>Johann Louw</t>
  </si>
  <si>
    <t>WC494</t>
  </si>
  <si>
    <t>0718607663</t>
  </si>
  <si>
    <t>ARC TC Manager</t>
  </si>
  <si>
    <t>Technician</t>
  </si>
  <si>
    <t>Richard van Vuuren</t>
  </si>
  <si>
    <t>WC507</t>
  </si>
  <si>
    <t>RCA Operations Manager</t>
  </si>
  <si>
    <t>AMM Junior Management</t>
  </si>
  <si>
    <t>ARC-RCM</t>
  </si>
  <si>
    <t>Country Manager</t>
  </si>
  <si>
    <t>Site Supervisor</t>
  </si>
  <si>
    <t>Riaan du Plooy</t>
  </si>
  <si>
    <t>N/A</t>
  </si>
  <si>
    <t>Benedito Timana</t>
  </si>
  <si>
    <t>Oil Sampler / Data collector</t>
  </si>
  <si>
    <t>258 879321970</t>
  </si>
  <si>
    <t>Reliability Technician</t>
  </si>
  <si>
    <t>Peter Ivo Mateus Mahlangu</t>
  </si>
  <si>
    <t>Senior Technician</t>
  </si>
  <si>
    <t>258842628215</t>
  </si>
  <si>
    <t>Site Manager</t>
  </si>
  <si>
    <t>Manager Mechanical</t>
  </si>
  <si>
    <t>Thermal Manager</t>
  </si>
  <si>
    <t>Reliability Technologist</t>
  </si>
  <si>
    <t>Reliability Technologist - Site Suprevisor</t>
  </si>
  <si>
    <t>ARC Centre Manager</t>
  </si>
  <si>
    <t>Trainee Inspector B5</t>
  </si>
  <si>
    <t>Divisional Manager</t>
  </si>
  <si>
    <t>Incomplete</t>
  </si>
  <si>
    <t>Sampler</t>
  </si>
  <si>
    <t>Administrator</t>
  </si>
  <si>
    <t>Michael Preotrius</t>
  </si>
  <si>
    <t>Reliability Analyst</t>
  </si>
  <si>
    <t>Eddie Pieterse Snr</t>
  </si>
  <si>
    <t>Christene Smal</t>
  </si>
  <si>
    <t>WC285</t>
  </si>
  <si>
    <t>RS Administrator</t>
  </si>
  <si>
    <t>Precision Maintenance Technologist</t>
  </si>
  <si>
    <t>ARC Reliability Specialist</t>
  </si>
  <si>
    <t>Operations Manager</t>
  </si>
  <si>
    <t>Francois Pretorius</t>
  </si>
  <si>
    <t>Condition Monitoring Specialist</t>
  </si>
  <si>
    <t>RCA Technician</t>
  </si>
  <si>
    <t>freddieh@wearcheck.co.za</t>
  </si>
  <si>
    <t>Gordon John Frederick Hoy</t>
  </si>
  <si>
    <t>WEC093</t>
  </si>
  <si>
    <t>Mechanical Technician</t>
  </si>
  <si>
    <t>0825967126</t>
  </si>
  <si>
    <t>Level 2 Inspector</t>
  </si>
  <si>
    <t>Foreign Operations Business Unit Manager</t>
  </si>
  <si>
    <t>Technical Advisor</t>
  </si>
  <si>
    <t>Remote Centre Administrator</t>
  </si>
  <si>
    <t>Technical &amp; Training Manager</t>
  </si>
  <si>
    <t>Sales Manager</t>
  </si>
  <si>
    <t>Administration Manager</t>
  </si>
  <si>
    <t>Reliability Analyst - Site Supervisor</t>
  </si>
  <si>
    <t>Integration Co-Ordinator</t>
  </si>
  <si>
    <t>Service Manager</t>
  </si>
  <si>
    <t>General Manager</t>
  </si>
  <si>
    <t>Remote Center Analyst</t>
  </si>
  <si>
    <t>Financial Manager</t>
  </si>
  <si>
    <t>Reliability Technologist Trainee</t>
  </si>
  <si>
    <t>Allan Stuurman / Lubby Lubis</t>
  </si>
  <si>
    <t>Display Name</t>
  </si>
  <si>
    <t>User Principal Name</t>
  </si>
  <si>
    <t>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</si>
</sst>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i/>
      <sz val="11"/>
      <color rgb="FF334155"/>
      <name val="Carlito"/>
    </font>
    <font>
      <b/>
      <sz val="11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4" fontId="0" fillId="0" borderId="0" xfId="0" applyNumberFormat="1"/>
    <xf numFmtId="4" fontId="0" fillId="4" borderId="0" xfId="0" applyNumberFormat="1" applyFill="1"/>
    <xf numFmtId="4" fontId="0" fillId="5" borderId="0" xfId="0" applyNumberFormat="1" applyFill="1"/>
    <xf numFmtId="0" fontId="5" fillId="6" borderId="0" xfId="0" applyFont="1" applyFill="1"/>
    <xf numFmtId="0" fontId="5" fillId="7" borderId="0" xfId="0" applyFont="1" applyFill="1"/>
    <xf numFmtId="0" fontId="6" fillId="7" borderId="0" xfId="0" applyFont="1" applyFill="1"/>
    <xf numFmtId="0" fontId="0" fillId="7" borderId="0" xfId="0" applyFill="1"/>
    <xf numFmtId="4" fontId="0" fillId="7" borderId="0" xfId="0" applyNumberFormat="1" applyFill="1"/>
    <xf numFmtId="164" fontId="0" fillId="7" borderId="0" xfId="0" applyNumberFormat="1" applyFill="1"/>
    <xf numFmtId="0" fontId="5" fillId="8" borderId="0" xfId="0" applyFont="1" applyFill="1"/>
    <xf numFmtId="4" fontId="5" fillId="8" borderId="0" xfId="0" applyNumberFormat="1" applyFont="1" applyFill="1"/>
    <xf numFmtId="164" fontId="5" fillId="8" borderId="0" xfId="0" applyNumberFormat="1" applyFont="1" applyFill="1"/>
    <xf numFmtId="0" fontId="3" fillId="2" borderId="0" xfId="0" applyFont="1" applyFill="1" applyAlignment="1">
      <alignment vertical="center"/>
    </xf>
    <xf numFmtId="0" fontId="0" fillId="0" borderId="0" xfId="0"/>
    <xf numFmtId="0" fontId="4" fillId="6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A"/>
              <a:t>Licensed Accounts by Cost Centre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Licensed Accounts</c:v>
          </c:tx>
          <c:invertIfNegative val="1"/>
          <c:cat>
            <c:strRef>
              <c:f>Division_Summary!$A$11:$A$15</c:f>
              <c:strCache>
                <c:ptCount val="5"/>
                <c:pt idx="0">
                  <c:v>RS</c:v>
                </c:pt>
                <c:pt idx="1">
                  <c:v>AFS</c:v>
                </c:pt>
                <c:pt idx="2">
                  <c:v>Namibia</c:v>
                </c:pt>
                <c:pt idx="3">
                  <c:v>Mozambique</c:v>
                </c:pt>
                <c:pt idx="4">
                  <c:v>Unassigned - Review</c:v>
                </c:pt>
              </c:strCache>
            </c:strRef>
          </c:cat>
          <c:val>
            <c:numRef>
              <c:f>Division_Summary!$B$11:$B$15</c:f>
              <c:numCache>
                <c:formatCode>General</c:formatCode>
                <c:ptCount val="5"/>
                <c:pt idx="0">
                  <c:v>94</c:v>
                </c:pt>
                <c:pt idx="1">
                  <c:v>25</c:v>
                </c:pt>
                <c:pt idx="2">
                  <c:v>4</c:v>
                </c:pt>
                <c:pt idx="3">
                  <c:v>6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D-4AA8-A906-014662B22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A"/>
              <a:t>Allocated Monthly Cost by Cost Centre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Allocated Monthly Cost</c:v>
          </c:tx>
          <c:invertIfNegative val="1"/>
          <c:cat>
            <c:strRef>
              <c:f>Division_Summary!$H$36:$H$40</c:f>
              <c:strCache>
                <c:ptCount val="5"/>
                <c:pt idx="0">
                  <c:v>RS</c:v>
                </c:pt>
                <c:pt idx="1">
                  <c:v>AFS</c:v>
                </c:pt>
                <c:pt idx="2">
                  <c:v>Namibia</c:v>
                </c:pt>
                <c:pt idx="3">
                  <c:v>Mozambique</c:v>
                </c:pt>
                <c:pt idx="4">
                  <c:v>Unassigned - Review</c:v>
                </c:pt>
              </c:strCache>
            </c:strRef>
          </c:cat>
          <c:val>
            <c:numRef>
              <c:f>Division_Summary!$I$36:$I$40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4-428D-A683-5931BC619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A34" sqref="A34"/>
    </sheetView>
  </sheetViews>
  <sheetFormatPr defaultRowHeight="13.8"/>
  <cols>
    <col min="1" max="1" width="106.5" bestFit="1" customWidth="1"/>
  </cols>
  <sheetData>
    <row r="1" spans="1:1" ht="17.55" customHeight="1">
      <c r="A1" s="1" t="s">
        <v>0</v>
      </c>
    </row>
    <row r="2" spans="1:1" ht="17.55" customHeight="1">
      <c r="A2" s="2" t="s">
        <v>1</v>
      </c>
    </row>
    <row r="3" spans="1:1" ht="17.55" customHeight="1">
      <c r="A3" s="2" t="s">
        <v>2</v>
      </c>
    </row>
    <row r="4" spans="1:1" ht="17.55" customHeight="1">
      <c r="A4" s="2" t="s">
        <v>3</v>
      </c>
    </row>
    <row r="5" spans="1:1" ht="17.55" customHeight="1">
      <c r="A5" s="2" t="s">
        <v>4</v>
      </c>
    </row>
    <row r="6" spans="1:1" ht="17.55" customHeight="1">
      <c r="A6" s="2" t="s">
        <v>5</v>
      </c>
    </row>
    <row r="7" spans="1:1" ht="17.55" customHeight="1">
      <c r="A7" s="2" t="s">
        <v>6</v>
      </c>
    </row>
    <row r="8" spans="1:1" ht="17.55" customHeight="1">
      <c r="A8" s="2" t="s">
        <v>7</v>
      </c>
    </row>
    <row r="9" spans="1:1" ht="17.55" customHeight="1">
      <c r="A9" s="2" t="s">
        <v>8</v>
      </c>
    </row>
    <row r="10" spans="1:1" ht="17.55" customHeight="1">
      <c r="A10" s="2" t="s">
        <v>9</v>
      </c>
    </row>
    <row r="11" spans="1:1" ht="17.55" customHeight="1">
      <c r="A11" s="2" t="s">
        <v>10</v>
      </c>
    </row>
    <row r="12" spans="1:1" ht="17.55" customHeight="1">
      <c r="A12" s="2" t="s">
        <v>11</v>
      </c>
    </row>
    <row r="13" spans="1:1" ht="17.55" customHeight="1">
      <c r="A13" s="2" t="s">
        <v>12</v>
      </c>
    </row>
    <row r="14" spans="1:1" ht="17.55" customHeight="1">
      <c r="A14" s="2" t="s">
        <v>13</v>
      </c>
    </row>
    <row r="15" spans="1:1" ht="17.55" customHeight="1">
      <c r="A15" s="2" t="s">
        <v>14</v>
      </c>
    </row>
    <row r="16" spans="1:1" ht="17.55" customHeight="1">
      <c r="A16" s="2" t="s">
        <v>15</v>
      </c>
    </row>
    <row r="17" spans="1:1" ht="17.55" customHeight="1">
      <c r="A17" s="2" t="s">
        <v>16</v>
      </c>
    </row>
    <row r="18" spans="1:1" ht="17.55" customHeight="1">
      <c r="A18" s="2"/>
    </row>
    <row r="19" spans="1:1" ht="17.55" customHeight="1">
      <c r="A19" s="2"/>
    </row>
    <row r="20" spans="1:1" ht="17.55" customHeight="1">
      <c r="A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activeCell="C35" sqref="C35"/>
    </sheetView>
  </sheetViews>
  <sheetFormatPr defaultRowHeight="13.8"/>
  <cols>
    <col min="1" max="1" width="32" customWidth="1"/>
    <col min="2" max="4" width="22" customWidth="1"/>
    <col min="5" max="6" width="18" customWidth="1"/>
    <col min="8" max="8" width="15.19921875" customWidth="1"/>
  </cols>
  <sheetData>
    <row r="1" spans="1:6" ht="17.55" customHeight="1">
      <c r="A1" s="16" t="s">
        <v>17</v>
      </c>
      <c r="B1" s="17"/>
      <c r="C1" s="17"/>
      <c r="D1" s="17"/>
      <c r="E1" s="17"/>
      <c r="F1" s="17"/>
    </row>
    <row r="2" spans="1:6" ht="17.55" customHeight="1">
      <c r="A2" s="18" t="s">
        <v>18</v>
      </c>
      <c r="B2" s="17"/>
      <c r="C2" s="17"/>
      <c r="D2" s="17"/>
      <c r="E2" s="17"/>
      <c r="F2" s="17"/>
    </row>
    <row r="3" spans="1:6" ht="17.55" customHeight="1"/>
    <row r="4" spans="1:6" ht="17.55" customHeight="1">
      <c r="A4" s="7" t="s">
        <v>19</v>
      </c>
      <c r="B4" s="7" t="s">
        <v>20</v>
      </c>
    </row>
    <row r="5" spans="1:6" ht="17.55" customHeight="1">
      <c r="A5" s="9" t="s">
        <v>21</v>
      </c>
      <c r="B5" s="8">
        <v>147</v>
      </c>
    </row>
    <row r="6" spans="1:6" ht="17.55" customHeight="1">
      <c r="A6" s="9" t="s">
        <v>22</v>
      </c>
      <c r="B6" s="8">
        <f>COUNTIF(User_Match!$F$2:$F$148,"&lt;&gt;Unassigned - Review")</f>
        <v>129</v>
      </c>
    </row>
    <row r="7" spans="1:6" ht="17.55" customHeight="1">
      <c r="A7" s="9" t="s">
        <v>23</v>
      </c>
      <c r="B7" s="8">
        <f>COUNTIF(User_Match!$L$2:$L$148,"Yes")</f>
        <v>23</v>
      </c>
    </row>
    <row r="8" spans="1:6" ht="17.55" customHeight="1"/>
    <row r="9" spans="1:6" ht="17.55" customHeight="1"/>
    <row r="10" spans="1:6" ht="17.55" customHeight="1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</row>
    <row r="11" spans="1:6" ht="17.55" customHeight="1">
      <c r="A11" s="10" t="s">
        <v>30</v>
      </c>
      <c r="B11" s="10">
        <f>COUNTIF(User_Match!$F$2:$F$148,A11)</f>
        <v>94</v>
      </c>
      <c r="C11" s="10">
        <f>COUNTIFS(User_Match!$F$2:$F$148,A11,User_Match!$L$2:$L$148,"Yes")</f>
        <v>0</v>
      </c>
      <c r="D11" s="10">
        <f>COUNTIF(Allocation_Detail!$C$2:$C$406,A11)</f>
        <v>271</v>
      </c>
      <c r="E11" s="11">
        <f>SUMIF(Allocation_Detail!$C$2:$C$406,A11,Allocation_Detail!$L$2:$L$406)</f>
        <v>0</v>
      </c>
      <c r="F11" s="12">
        <f t="shared" ref="F11:F16" si="0">IF($E$16=0,0,E11/$E$16)</f>
        <v>0</v>
      </c>
    </row>
    <row r="12" spans="1:6" ht="17.55" customHeight="1">
      <c r="A12" s="10" t="s">
        <v>31</v>
      </c>
      <c r="B12" s="10">
        <f>COUNTIF(User_Match!$F$2:$F$148,A12)</f>
        <v>25</v>
      </c>
      <c r="C12" s="10">
        <f>COUNTIFS(User_Match!$F$2:$F$148,A12,User_Match!$L$2:$L$148,"Yes")</f>
        <v>5</v>
      </c>
      <c r="D12" s="10">
        <f>COUNTIF(Allocation_Detail!$C$2:$C$406,A12)</f>
        <v>67</v>
      </c>
      <c r="E12" s="11">
        <f>SUMIF(Allocation_Detail!$C$2:$C$406,A12,Allocation_Detail!$L$2:$L$406)</f>
        <v>0</v>
      </c>
      <c r="F12" s="12">
        <f t="shared" si="0"/>
        <v>0</v>
      </c>
    </row>
    <row r="13" spans="1:6" ht="17.55" customHeight="1">
      <c r="A13" s="10" t="s">
        <v>32</v>
      </c>
      <c r="B13" s="10">
        <f>COUNTIF(User_Match!$F$2:$F$148,A13)</f>
        <v>4</v>
      </c>
      <c r="C13" s="10">
        <f>COUNTIFS(User_Match!$F$2:$F$148,A13,User_Match!$L$2:$L$148,"Yes")</f>
        <v>0</v>
      </c>
      <c r="D13" s="10">
        <f>COUNTIF(Allocation_Detail!$C$2:$C$406,A13)</f>
        <v>10</v>
      </c>
      <c r="E13" s="11">
        <f>SUMIF(Allocation_Detail!$C$2:$C$406,A13,Allocation_Detail!$L$2:$L$406)</f>
        <v>0</v>
      </c>
      <c r="F13" s="12">
        <f t="shared" si="0"/>
        <v>0</v>
      </c>
    </row>
    <row r="14" spans="1:6" ht="17.55" customHeight="1">
      <c r="A14" s="10" t="s">
        <v>33</v>
      </c>
      <c r="B14" s="10">
        <f>COUNTIF(User_Match!$F$2:$F$148,A14)</f>
        <v>6</v>
      </c>
      <c r="C14" s="10">
        <f>COUNTIFS(User_Match!$F$2:$F$148,A14,User_Match!$L$2:$L$148,"Yes")</f>
        <v>0</v>
      </c>
      <c r="D14" s="10">
        <f>COUNTIF(Allocation_Detail!$C$2:$C$406,A14)</f>
        <v>17</v>
      </c>
      <c r="E14" s="11">
        <f>SUMIF(Allocation_Detail!$C$2:$C$406,A14,Allocation_Detail!$L$2:$L$406)</f>
        <v>0</v>
      </c>
      <c r="F14" s="12">
        <f t="shared" si="0"/>
        <v>0</v>
      </c>
    </row>
    <row r="15" spans="1:6" ht="17.55" customHeight="1">
      <c r="A15" s="10" t="s">
        <v>34</v>
      </c>
      <c r="B15" s="10">
        <f>COUNTIF(User_Match!$F$2:$F$148,A15)</f>
        <v>18</v>
      </c>
      <c r="C15" s="10">
        <f>COUNTIFS(User_Match!$F$2:$F$148,A15,User_Match!$L$2:$L$148,"Yes")</f>
        <v>18</v>
      </c>
      <c r="D15" s="10">
        <f>COUNTIF(Allocation_Detail!$C$2:$C$406,A15)</f>
        <v>40</v>
      </c>
      <c r="E15" s="11">
        <f>SUMIF(Allocation_Detail!$C$2:$C$406,A15,Allocation_Detail!$L$2:$L$406)</f>
        <v>0</v>
      </c>
      <c r="F15" s="12">
        <f t="shared" si="0"/>
        <v>0</v>
      </c>
    </row>
    <row r="16" spans="1:6" ht="17.55" customHeight="1">
      <c r="A16" s="13" t="s">
        <v>35</v>
      </c>
      <c r="B16" s="13">
        <f>SUM(B11:B15)</f>
        <v>147</v>
      </c>
      <c r="C16" s="13">
        <f>SUM(C11:C15)</f>
        <v>23</v>
      </c>
      <c r="D16" s="13">
        <f>SUM(D11:D15)</f>
        <v>405</v>
      </c>
      <c r="E16" s="14">
        <f>SUM(E11:E15)</f>
        <v>0</v>
      </c>
      <c r="F16" s="15">
        <f t="shared" si="0"/>
        <v>0</v>
      </c>
    </row>
    <row r="19" spans="1:4">
      <c r="A19" s="3" t="s">
        <v>36</v>
      </c>
      <c r="B19" s="3" t="s">
        <v>37</v>
      </c>
      <c r="C19" s="3" t="s">
        <v>38</v>
      </c>
      <c r="D19" s="3" t="s">
        <v>39</v>
      </c>
    </row>
    <row r="20" spans="1:4" ht="24" customHeight="1">
      <c r="A20" s="2" t="s">
        <v>40</v>
      </c>
      <c r="B20">
        <v>130</v>
      </c>
      <c r="C20" s="4">
        <f>SKU_Cost_Input!D2</f>
        <v>0</v>
      </c>
      <c r="D20" s="4">
        <f>SKU_Cost_Input!E2</f>
        <v>0</v>
      </c>
    </row>
    <row r="21" spans="1:4" ht="24" customHeight="1">
      <c r="A21" s="2" t="s">
        <v>41</v>
      </c>
      <c r="B21">
        <v>100</v>
      </c>
      <c r="C21" s="4">
        <f>SKU_Cost_Input!D3</f>
        <v>0</v>
      </c>
      <c r="D21" s="4">
        <f>SKU_Cost_Input!E3</f>
        <v>0</v>
      </c>
    </row>
    <row r="22" spans="1:4" ht="24" customHeight="1">
      <c r="A22" s="2" t="s">
        <v>42</v>
      </c>
      <c r="B22">
        <v>52</v>
      </c>
      <c r="C22" s="4">
        <f>SKU_Cost_Input!D4</f>
        <v>0</v>
      </c>
      <c r="D22" s="4">
        <f>SKU_Cost_Input!E4</f>
        <v>0</v>
      </c>
    </row>
    <row r="23" spans="1:4" ht="24" customHeight="1">
      <c r="A23" s="2" t="s">
        <v>43</v>
      </c>
      <c r="B23">
        <v>50</v>
      </c>
      <c r="C23" s="4">
        <f>SKU_Cost_Input!D5</f>
        <v>0</v>
      </c>
      <c r="D23" s="4">
        <f>SKU_Cost_Input!E5</f>
        <v>0</v>
      </c>
    </row>
    <row r="24" spans="1:4" ht="24" customHeight="1">
      <c r="A24" s="2" t="s">
        <v>44</v>
      </c>
      <c r="B24">
        <v>21</v>
      </c>
      <c r="C24" s="4">
        <f>SKU_Cost_Input!D6</f>
        <v>0</v>
      </c>
      <c r="D24" s="4">
        <f>SKU_Cost_Input!E6</f>
        <v>0</v>
      </c>
    </row>
    <row r="25" spans="1:4" ht="24" customHeight="1">
      <c r="A25" s="2" t="s">
        <v>45</v>
      </c>
      <c r="B25">
        <v>14</v>
      </c>
      <c r="C25" s="4">
        <f>SKU_Cost_Input!D7</f>
        <v>0</v>
      </c>
      <c r="D25" s="4">
        <f>SKU_Cost_Input!E7</f>
        <v>0</v>
      </c>
    </row>
    <row r="35" spans="8:9">
      <c r="H35" s="4" t="s">
        <v>24</v>
      </c>
      <c r="I35" s="4" t="s">
        <v>28</v>
      </c>
    </row>
    <row r="36" spans="8:9">
      <c r="H36" s="4" t="s">
        <v>30</v>
      </c>
      <c r="I36" s="4">
        <f>E11</f>
        <v>0</v>
      </c>
    </row>
    <row r="37" spans="8:9">
      <c r="H37" s="4" t="s">
        <v>31</v>
      </c>
      <c r="I37" s="4">
        <f>E12</f>
        <v>0</v>
      </c>
    </row>
    <row r="38" spans="8:9">
      <c r="H38" s="4" t="s">
        <v>32</v>
      </c>
      <c r="I38" s="4">
        <f>E13</f>
        <v>0</v>
      </c>
    </row>
    <row r="39" spans="8:9">
      <c r="H39" s="4" t="s">
        <v>33</v>
      </c>
      <c r="I39" s="4">
        <f>E14</f>
        <v>0</v>
      </c>
    </row>
    <row r="40" spans="8:9">
      <c r="H40" s="4" t="s">
        <v>34</v>
      </c>
      <c r="I40" s="4">
        <f>E15</f>
        <v>0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0"/>
  <sheetViews>
    <sheetView workbookViewId="0">
      <selection activeCell="D30" sqref="D30"/>
    </sheetView>
  </sheetViews>
  <sheetFormatPr defaultRowHeight="13.8"/>
  <cols>
    <col min="1" max="1" width="39.19921875" bestFit="1" customWidth="1"/>
    <col min="2" max="2" width="12.09765625" bestFit="1" customWidth="1"/>
    <col min="3" max="3" width="13.59765625" bestFit="1" customWidth="1"/>
    <col min="4" max="4" width="28.69921875" bestFit="1" customWidth="1"/>
    <col min="5" max="5" width="9.09765625" bestFit="1" customWidth="1"/>
    <col min="6" max="6" width="61.09765625" bestFit="1" customWidth="1"/>
  </cols>
  <sheetData>
    <row r="1" spans="1:6" ht="16.05" customHeight="1">
      <c r="A1" s="3" t="s">
        <v>46</v>
      </c>
      <c r="B1" s="3" t="s">
        <v>47</v>
      </c>
      <c r="C1" s="3" t="s">
        <v>48</v>
      </c>
      <c r="D1" s="3" t="s">
        <v>49</v>
      </c>
      <c r="E1" s="3" t="s">
        <v>39</v>
      </c>
      <c r="F1" s="3" t="s">
        <v>50</v>
      </c>
    </row>
    <row r="2" spans="1:6" ht="16.05" customHeight="1">
      <c r="A2" t="s">
        <v>40</v>
      </c>
      <c r="B2">
        <v>130</v>
      </c>
      <c r="C2" t="s">
        <v>51</v>
      </c>
      <c r="D2" s="5">
        <v>0</v>
      </c>
      <c r="E2" s="6">
        <f t="shared" ref="E2:E15" si="0">IF(B2=0,0,D2/B2)</f>
        <v>0</v>
      </c>
      <c r="F2" t="s">
        <v>52</v>
      </c>
    </row>
    <row r="3" spans="1:6" ht="16.05" customHeight="1">
      <c r="A3" t="s">
        <v>41</v>
      </c>
      <c r="B3">
        <v>100</v>
      </c>
      <c r="C3" t="s">
        <v>53</v>
      </c>
      <c r="D3" s="5">
        <v>0</v>
      </c>
      <c r="E3" s="6">
        <f t="shared" si="0"/>
        <v>0</v>
      </c>
      <c r="F3" t="s">
        <v>52</v>
      </c>
    </row>
    <row r="4" spans="1:6" ht="16.05" customHeight="1">
      <c r="A4" t="s">
        <v>42</v>
      </c>
      <c r="B4">
        <v>52</v>
      </c>
      <c r="C4" t="s">
        <v>54</v>
      </c>
      <c r="D4" s="5">
        <v>0</v>
      </c>
      <c r="E4" s="6">
        <f t="shared" si="0"/>
        <v>0</v>
      </c>
      <c r="F4" t="s">
        <v>52</v>
      </c>
    </row>
    <row r="5" spans="1:6" ht="16.05" customHeight="1">
      <c r="A5" t="s">
        <v>43</v>
      </c>
      <c r="B5">
        <v>50</v>
      </c>
      <c r="C5" t="s">
        <v>54</v>
      </c>
      <c r="D5" s="5">
        <v>0</v>
      </c>
      <c r="E5" s="6">
        <f t="shared" si="0"/>
        <v>0</v>
      </c>
      <c r="F5" t="s">
        <v>52</v>
      </c>
    </row>
    <row r="6" spans="1:6" ht="16.05" customHeight="1">
      <c r="A6" t="s">
        <v>44</v>
      </c>
      <c r="B6">
        <v>21</v>
      </c>
      <c r="C6" t="s">
        <v>53</v>
      </c>
      <c r="D6" s="5">
        <v>0</v>
      </c>
      <c r="E6" s="6">
        <f t="shared" si="0"/>
        <v>0</v>
      </c>
      <c r="F6" t="s">
        <v>52</v>
      </c>
    </row>
    <row r="7" spans="1:6" ht="16.05" customHeight="1">
      <c r="A7" t="s">
        <v>45</v>
      </c>
      <c r="B7">
        <v>14</v>
      </c>
      <c r="C7" t="s">
        <v>53</v>
      </c>
      <c r="D7" s="5">
        <v>0</v>
      </c>
      <c r="E7" s="6">
        <f t="shared" si="0"/>
        <v>0</v>
      </c>
      <c r="F7" t="s">
        <v>52</v>
      </c>
    </row>
    <row r="8" spans="1:6" ht="16.05" customHeight="1">
      <c r="A8" t="s">
        <v>55</v>
      </c>
      <c r="B8">
        <v>7</v>
      </c>
      <c r="C8" t="s">
        <v>54</v>
      </c>
      <c r="D8" s="5">
        <v>0</v>
      </c>
      <c r="E8" s="6">
        <f t="shared" si="0"/>
        <v>0</v>
      </c>
      <c r="F8" t="s">
        <v>52</v>
      </c>
    </row>
    <row r="9" spans="1:6" ht="16.05" customHeight="1">
      <c r="A9" t="s">
        <v>56</v>
      </c>
      <c r="B9">
        <v>6</v>
      </c>
      <c r="C9" t="s">
        <v>54</v>
      </c>
      <c r="D9" s="5">
        <v>0</v>
      </c>
      <c r="E9" s="6">
        <f t="shared" si="0"/>
        <v>0</v>
      </c>
      <c r="F9" t="s">
        <v>52</v>
      </c>
    </row>
    <row r="10" spans="1:6" ht="16.05" customHeight="1">
      <c r="A10" t="s">
        <v>57</v>
      </c>
      <c r="B10">
        <v>6</v>
      </c>
      <c r="C10" t="s">
        <v>51</v>
      </c>
      <c r="D10" s="5">
        <v>0</v>
      </c>
      <c r="E10" s="6">
        <f t="shared" si="0"/>
        <v>0</v>
      </c>
      <c r="F10" t="s">
        <v>52</v>
      </c>
    </row>
    <row r="11" spans="1:6" ht="16.05" customHeight="1">
      <c r="A11" t="s">
        <v>58</v>
      </c>
      <c r="B11">
        <v>6</v>
      </c>
      <c r="C11" t="s">
        <v>53</v>
      </c>
      <c r="D11" s="5">
        <v>0</v>
      </c>
      <c r="E11" s="6">
        <f t="shared" si="0"/>
        <v>0</v>
      </c>
      <c r="F11" t="s">
        <v>52</v>
      </c>
    </row>
    <row r="12" spans="1:6" ht="16.05" customHeight="1">
      <c r="A12" t="s">
        <v>59</v>
      </c>
      <c r="B12">
        <v>5</v>
      </c>
      <c r="C12" t="s">
        <v>54</v>
      </c>
      <c r="D12" s="5">
        <v>0</v>
      </c>
      <c r="E12" s="6">
        <f t="shared" si="0"/>
        <v>0</v>
      </c>
      <c r="F12" t="s">
        <v>52</v>
      </c>
    </row>
    <row r="13" spans="1:6" ht="16.05" customHeight="1">
      <c r="A13" t="s">
        <v>60</v>
      </c>
      <c r="B13">
        <v>4</v>
      </c>
      <c r="C13" t="s">
        <v>53</v>
      </c>
      <c r="D13" s="5">
        <v>0</v>
      </c>
      <c r="E13" s="6">
        <f t="shared" si="0"/>
        <v>0</v>
      </c>
      <c r="F13" t="s">
        <v>52</v>
      </c>
    </row>
    <row r="14" spans="1:6" ht="16.05" customHeight="1">
      <c r="A14" t="s">
        <v>61</v>
      </c>
      <c r="B14">
        <v>3</v>
      </c>
      <c r="C14" t="s">
        <v>51</v>
      </c>
      <c r="D14" s="5">
        <v>0</v>
      </c>
      <c r="E14" s="6">
        <f t="shared" si="0"/>
        <v>0</v>
      </c>
      <c r="F14" t="s">
        <v>52</v>
      </c>
    </row>
    <row r="15" spans="1:6" ht="16.05" customHeight="1">
      <c r="A15" t="s">
        <v>62</v>
      </c>
      <c r="B15">
        <v>1</v>
      </c>
      <c r="C15" t="s">
        <v>53</v>
      </c>
      <c r="D15" s="5">
        <v>0</v>
      </c>
      <c r="E15" s="6">
        <f t="shared" si="0"/>
        <v>0</v>
      </c>
      <c r="F15" t="s">
        <v>52</v>
      </c>
    </row>
    <row r="16" spans="1:6" ht="16.05" customHeight="1"/>
    <row r="17" ht="16.05" customHeight="1"/>
    <row r="18" ht="16.05" customHeight="1"/>
    <row r="19" ht="16.05" customHeight="1"/>
    <row r="20" ht="16.05" customHeight="1"/>
    <row r="21" ht="16.05" customHeight="1"/>
    <row r="22" ht="16.05" customHeight="1"/>
    <row r="23" ht="16.05" customHeight="1"/>
    <row r="24" ht="16.05" customHeight="1"/>
    <row r="25" ht="16.05" customHeight="1"/>
    <row r="26" ht="16.05" customHeight="1"/>
    <row r="27" ht="16.05" customHeight="1"/>
    <row r="28" ht="16.05" customHeight="1"/>
    <row r="29" ht="16.05" customHeight="1"/>
    <row r="30" ht="16.05" customHeight="1"/>
    <row r="31" ht="16.05" customHeight="1"/>
    <row r="32" ht="16.05" customHeight="1"/>
    <row r="33" ht="16.05" customHeight="1"/>
    <row r="34" ht="16.05" customHeight="1"/>
    <row r="35" ht="16.05" customHeight="1"/>
    <row r="36" ht="16.05" customHeight="1"/>
    <row r="37" ht="16.05" customHeight="1"/>
    <row r="38" ht="16.05" customHeight="1"/>
    <row r="39" ht="16.05" customHeight="1"/>
    <row r="40" ht="16.05" customHeight="1"/>
    <row r="41" ht="16.05" customHeight="1"/>
    <row r="42" ht="16.05" customHeight="1"/>
    <row r="43" ht="16.05" customHeight="1"/>
    <row r="44" ht="16.05" customHeight="1"/>
    <row r="45" ht="16.05" customHeight="1"/>
    <row r="46" ht="16.05" customHeight="1"/>
    <row r="47" ht="16.05" customHeight="1"/>
    <row r="48" ht="16.05" customHeight="1"/>
    <row r="49" ht="16.05" customHeight="1"/>
    <row r="50" ht="16.05" customHeight="1"/>
    <row r="51" ht="16.05" customHeight="1"/>
    <row r="52" ht="16.05" customHeight="1"/>
    <row r="53" ht="16.05" customHeight="1"/>
    <row r="54" ht="16.05" customHeight="1"/>
    <row r="55" ht="16.05" customHeight="1"/>
    <row r="56" ht="16.05" customHeight="1"/>
    <row r="57" ht="16.05" customHeight="1"/>
    <row r="58" ht="16.05" customHeight="1"/>
    <row r="59" ht="16.05" customHeight="1"/>
    <row r="60" ht="16.05" customHeight="1"/>
    <row r="61" ht="16.05" customHeight="1"/>
    <row r="62" ht="16.05" customHeight="1"/>
    <row r="63" ht="16.05" customHeight="1"/>
    <row r="64" ht="16.05" customHeight="1"/>
    <row r="65" ht="16.05" customHeight="1"/>
    <row r="66" ht="16.05" customHeight="1"/>
    <row r="67" ht="16.05" customHeight="1"/>
    <row r="68" ht="16.05" customHeight="1"/>
    <row r="69" ht="16.05" customHeight="1"/>
    <row r="70" ht="16.05" customHeight="1"/>
    <row r="71" ht="16.05" customHeight="1"/>
    <row r="72" ht="16.05" customHeight="1"/>
    <row r="73" ht="16.05" customHeight="1"/>
    <row r="74" ht="16.05" customHeight="1"/>
    <row r="75" ht="16.05" customHeight="1"/>
    <row r="76" ht="16.05" customHeight="1"/>
    <row r="77" ht="16.05" customHeight="1"/>
    <row r="78" ht="16.05" customHeight="1"/>
    <row r="79" ht="16.05" customHeight="1"/>
    <row r="80" ht="16.05" customHeight="1"/>
    <row r="81" ht="16.05" customHeight="1"/>
    <row r="82" ht="16.05" customHeight="1"/>
    <row r="83" ht="16.05" customHeight="1"/>
    <row r="84" ht="16.05" customHeight="1"/>
    <row r="85" ht="16.05" customHeight="1"/>
    <row r="86" ht="16.05" customHeight="1"/>
    <row r="87" ht="16.05" customHeight="1"/>
    <row r="88" ht="16.05" customHeight="1"/>
    <row r="89" ht="16.05" customHeight="1"/>
    <row r="90" ht="16.05" customHeight="1"/>
    <row r="91" ht="16.05" customHeight="1"/>
    <row r="92" ht="16.05" customHeight="1"/>
    <row r="93" ht="16.05" customHeight="1"/>
    <row r="94" ht="16.05" customHeight="1"/>
    <row r="95" ht="16.05" customHeight="1"/>
    <row r="96" ht="16.05" customHeight="1"/>
    <row r="97" ht="16.05" customHeight="1"/>
    <row r="98" ht="16.05" customHeight="1"/>
    <row r="99" ht="16.05" customHeight="1"/>
    <row r="100" ht="16.05" customHeight="1"/>
    <row r="101" ht="16.05" customHeight="1"/>
    <row r="102" ht="16.05" customHeight="1"/>
    <row r="103" ht="16.05" customHeight="1"/>
    <row r="104" ht="16.05" customHeight="1"/>
    <row r="105" ht="16.05" customHeight="1"/>
    <row r="106" ht="16.05" customHeight="1"/>
    <row r="107" ht="16.05" customHeight="1"/>
    <row r="108" ht="16.05" customHeight="1"/>
    <row r="109" ht="16.05" customHeight="1"/>
    <row r="110" ht="16.05" customHeight="1"/>
    <row r="111" ht="16.05" customHeight="1"/>
    <row r="112" ht="16.05" customHeight="1"/>
    <row r="113" ht="16.05" customHeight="1"/>
    <row r="114" ht="16.05" customHeight="1"/>
    <row r="115" ht="16.05" customHeight="1"/>
    <row r="116" ht="16.05" customHeight="1"/>
    <row r="117" ht="16.05" customHeight="1"/>
    <row r="118" ht="16.05" customHeight="1"/>
    <row r="119" ht="16.05" customHeight="1"/>
    <row r="120" ht="16.05" customHeight="1"/>
    <row r="121" ht="16.05" customHeight="1"/>
    <row r="122" ht="16.05" customHeight="1"/>
    <row r="123" ht="16.05" customHeight="1"/>
    <row r="124" ht="16.05" customHeight="1"/>
    <row r="125" ht="16.05" customHeight="1"/>
    <row r="126" ht="16.05" customHeight="1"/>
    <row r="127" ht="16.05" customHeight="1"/>
    <row r="128" ht="16.05" customHeight="1"/>
    <row r="129" ht="16.05" customHeight="1"/>
    <row r="130" ht="16.05" customHeight="1"/>
    <row r="131" ht="16.05" customHeight="1"/>
    <row r="132" ht="16.05" customHeight="1"/>
    <row r="133" ht="16.05" customHeight="1"/>
    <row r="134" ht="16.05" customHeight="1"/>
    <row r="135" ht="16.05" customHeight="1"/>
    <row r="136" ht="16.05" customHeight="1"/>
    <row r="137" ht="16.05" customHeight="1"/>
    <row r="138" ht="16.05" customHeight="1"/>
    <row r="139" ht="16.05" customHeight="1"/>
    <row r="140" ht="16.05" customHeight="1"/>
    <row r="141" ht="16.05" customHeight="1"/>
    <row r="142" ht="16.05" customHeight="1"/>
    <row r="143" ht="16.05" customHeight="1"/>
    <row r="144" ht="16.05" customHeight="1"/>
    <row r="145" ht="16.05" customHeight="1"/>
    <row r="146" ht="16.05" customHeight="1"/>
    <row r="147" ht="16.05" customHeight="1"/>
    <row r="148" ht="16.05" customHeight="1"/>
    <row r="149" ht="16.05" customHeight="1"/>
    <row r="150" ht="16.05" customHeight="1"/>
    <row r="151" ht="16.05" customHeight="1"/>
    <row r="152" ht="16.05" customHeight="1"/>
    <row r="153" ht="16.05" customHeight="1"/>
    <row r="154" ht="16.05" customHeight="1"/>
    <row r="155" ht="16.05" customHeight="1"/>
    <row r="156" ht="16.05" customHeight="1"/>
    <row r="157" ht="16.05" customHeight="1"/>
    <row r="158" ht="16.05" customHeight="1"/>
    <row r="159" ht="16.05" customHeight="1"/>
    <row r="160" ht="16.05" customHeight="1"/>
    <row r="161" ht="16.05" customHeight="1"/>
    <row r="162" ht="16.05" customHeight="1"/>
    <row r="163" ht="16.05" customHeight="1"/>
    <row r="164" ht="16.05" customHeight="1"/>
    <row r="165" ht="16.05" customHeight="1"/>
    <row r="166" ht="16.05" customHeight="1"/>
    <row r="167" ht="16.05" customHeight="1"/>
    <row r="168" ht="16.05" customHeight="1"/>
    <row r="169" ht="16.05" customHeight="1"/>
    <row r="170" ht="16.05" customHeight="1"/>
    <row r="171" ht="16.05" customHeight="1"/>
    <row r="172" ht="16.05" customHeight="1"/>
    <row r="173" ht="16.05" customHeight="1"/>
    <row r="174" ht="16.05" customHeight="1"/>
    <row r="175" ht="16.05" customHeight="1"/>
    <row r="176" ht="16.05" customHeight="1"/>
    <row r="177" ht="16.05" customHeight="1"/>
    <row r="178" ht="16.05" customHeight="1"/>
    <row r="179" ht="16.05" customHeight="1"/>
    <row r="180" ht="16.05" customHeight="1"/>
    <row r="181" ht="16.05" customHeight="1"/>
    <row r="182" ht="16.05" customHeight="1"/>
    <row r="183" ht="16.05" customHeight="1"/>
    <row r="184" ht="16.05" customHeight="1"/>
    <row r="185" ht="16.05" customHeight="1"/>
    <row r="186" ht="16.05" customHeight="1"/>
    <row r="187" ht="16.05" customHeight="1"/>
    <row r="188" ht="16.05" customHeight="1"/>
    <row r="189" ht="16.05" customHeight="1"/>
    <row r="190" ht="16.05" customHeight="1"/>
    <row r="191" ht="16.05" customHeight="1"/>
    <row r="192" ht="16.05" customHeight="1"/>
    <row r="193" ht="16.05" customHeight="1"/>
    <row r="194" ht="16.05" customHeight="1"/>
    <row r="195" ht="16.05" customHeight="1"/>
    <row r="196" ht="16.05" customHeight="1"/>
    <row r="197" ht="16.05" customHeight="1"/>
    <row r="198" ht="16.05" customHeight="1"/>
    <row r="199" ht="16.05" customHeight="1"/>
    <row r="200" ht="16.05" customHeight="1"/>
    <row r="201" ht="16.05" customHeight="1"/>
    <row r="202" ht="16.05" customHeight="1"/>
    <row r="203" ht="16.05" customHeight="1"/>
    <row r="204" ht="16.05" customHeight="1"/>
    <row r="205" ht="16.05" customHeight="1"/>
    <row r="206" ht="16.05" customHeight="1"/>
    <row r="207" ht="16.05" customHeight="1"/>
    <row r="208" ht="16.05" customHeight="1"/>
    <row r="209" ht="16.05" customHeight="1"/>
    <row r="210" ht="16.05" customHeight="1"/>
    <row r="211" ht="16.05" customHeight="1"/>
    <row r="212" ht="16.05" customHeight="1"/>
    <row r="213" ht="16.05" customHeight="1"/>
    <row r="214" ht="16.05" customHeight="1"/>
    <row r="215" ht="16.05" customHeight="1"/>
    <row r="216" ht="16.05" customHeight="1"/>
    <row r="217" ht="16.05" customHeight="1"/>
    <row r="218" ht="16.05" customHeight="1"/>
    <row r="219" ht="16.05" customHeight="1"/>
    <row r="220" ht="16.05" customHeight="1"/>
    <row r="221" ht="16.05" customHeight="1"/>
    <row r="222" ht="16.05" customHeight="1"/>
    <row r="223" ht="16.05" customHeight="1"/>
    <row r="224" ht="16.05" customHeight="1"/>
    <row r="225" ht="16.05" customHeight="1"/>
    <row r="226" ht="16.05" customHeight="1"/>
    <row r="227" ht="16.05" customHeight="1"/>
    <row r="228" ht="16.05" customHeight="1"/>
    <row r="229" ht="16.05" customHeight="1"/>
    <row r="230" ht="16.05" customHeight="1"/>
    <row r="231" ht="16.05" customHeight="1"/>
    <row r="232" ht="16.05" customHeight="1"/>
    <row r="233" ht="16.05" customHeight="1"/>
    <row r="234" ht="16.05" customHeight="1"/>
    <row r="235" ht="16.05" customHeight="1"/>
    <row r="236" ht="16.05" customHeight="1"/>
    <row r="237" ht="16.05" customHeight="1"/>
    <row r="238" ht="16.05" customHeight="1"/>
    <row r="239" ht="16.05" customHeight="1"/>
    <row r="240" ht="16.05" customHeight="1"/>
    <row r="241" ht="16.05" customHeight="1"/>
    <row r="242" ht="16.05" customHeight="1"/>
    <row r="243" ht="16.05" customHeight="1"/>
    <row r="244" ht="16.05" customHeight="1"/>
    <row r="245" ht="16.05" customHeight="1"/>
    <row r="246" ht="16.05" customHeight="1"/>
    <row r="247" ht="16.05" customHeight="1"/>
    <row r="248" ht="16.05" customHeight="1"/>
    <row r="249" ht="16.05" customHeight="1"/>
    <row r="250" ht="16.05" customHeight="1"/>
    <row r="251" ht="16.05" customHeight="1"/>
    <row r="252" ht="16.05" customHeight="1"/>
    <row r="253" ht="16.05" customHeight="1"/>
    <row r="254" ht="16.05" customHeight="1"/>
    <row r="255" ht="16.05" customHeight="1"/>
    <row r="256" ht="16.05" customHeight="1"/>
    <row r="257" ht="16.05" customHeight="1"/>
    <row r="258" ht="16.05" customHeight="1"/>
    <row r="259" ht="16.05" customHeight="1"/>
    <row r="260" ht="16.05" customHeight="1"/>
    <row r="261" ht="16.05" customHeight="1"/>
    <row r="262" ht="16.05" customHeight="1"/>
    <row r="263" ht="16.05" customHeight="1"/>
    <row r="264" ht="16.05" customHeight="1"/>
    <row r="265" ht="16.05" customHeight="1"/>
    <row r="266" ht="16.05" customHeight="1"/>
    <row r="267" ht="16.05" customHeight="1"/>
    <row r="268" ht="16.05" customHeight="1"/>
    <row r="269" ht="16.05" customHeight="1"/>
    <row r="270" ht="16.05" customHeight="1"/>
    <row r="271" ht="16.05" customHeight="1"/>
    <row r="272" ht="16.05" customHeight="1"/>
    <row r="273" ht="16.05" customHeight="1"/>
    <row r="274" ht="16.05" customHeight="1"/>
    <row r="275" ht="16.05" customHeight="1"/>
    <row r="276" ht="16.05" customHeight="1"/>
    <row r="277" ht="16.05" customHeight="1"/>
    <row r="278" ht="16.05" customHeight="1"/>
    <row r="279" ht="16.05" customHeight="1"/>
    <row r="280" ht="16.05" customHeight="1"/>
    <row r="281" ht="16.05" customHeight="1"/>
    <row r="282" ht="16.05" customHeight="1"/>
    <row r="283" ht="16.05" customHeight="1"/>
    <row r="284" ht="16.05" customHeight="1"/>
    <row r="285" ht="16.05" customHeight="1"/>
    <row r="286" ht="16.05" customHeight="1"/>
    <row r="287" ht="16.05" customHeight="1"/>
    <row r="288" ht="16.05" customHeight="1"/>
    <row r="289" ht="16.05" customHeight="1"/>
    <row r="290" ht="16.05" customHeight="1"/>
    <row r="291" ht="16.05" customHeight="1"/>
    <row r="292" ht="16.05" customHeight="1"/>
    <row r="293" ht="16.05" customHeight="1"/>
    <row r="294" ht="16.05" customHeight="1"/>
    <row r="295" ht="16.05" customHeight="1"/>
    <row r="296" ht="16.05" customHeight="1"/>
    <row r="297" ht="16.05" customHeight="1"/>
    <row r="298" ht="16.05" customHeight="1"/>
    <row r="299" ht="16.05" customHeight="1"/>
    <row r="300" ht="16.05" customHeight="1"/>
    <row r="301" ht="16.05" customHeight="1"/>
    <row r="302" ht="16.05" customHeight="1"/>
    <row r="303" ht="16.05" customHeight="1"/>
    <row r="304" ht="16.05" customHeight="1"/>
    <row r="305" ht="16.05" customHeight="1"/>
    <row r="306" ht="16.05" customHeight="1"/>
    <row r="307" ht="16.05" customHeight="1"/>
    <row r="308" ht="16.05" customHeight="1"/>
    <row r="309" ht="16.05" customHeight="1"/>
    <row r="310" ht="16.05" customHeight="1"/>
    <row r="311" ht="16.05" customHeight="1"/>
    <row r="312" ht="16.05" customHeight="1"/>
    <row r="313" ht="16.05" customHeight="1"/>
    <row r="314" ht="16.05" customHeight="1"/>
    <row r="315" ht="16.05" customHeight="1"/>
    <row r="316" ht="16.05" customHeight="1"/>
    <row r="317" ht="16.05" customHeight="1"/>
    <row r="318" ht="16.05" customHeight="1"/>
    <row r="319" ht="16.05" customHeight="1"/>
    <row r="320" ht="16.05" customHeight="1"/>
    <row r="321" ht="16.05" customHeight="1"/>
    <row r="322" ht="16.05" customHeight="1"/>
    <row r="323" ht="16.05" customHeight="1"/>
    <row r="324" ht="16.05" customHeight="1"/>
    <row r="325" ht="16.05" customHeight="1"/>
    <row r="326" ht="16.05" customHeight="1"/>
    <row r="327" ht="16.05" customHeight="1"/>
    <row r="328" ht="16.05" customHeight="1"/>
    <row r="329" ht="16.05" customHeight="1"/>
    <row r="330" ht="16.05" customHeight="1"/>
    <row r="331" ht="16.05" customHeight="1"/>
    <row r="332" ht="16.05" customHeight="1"/>
    <row r="333" ht="16.05" customHeight="1"/>
    <row r="334" ht="16.05" customHeight="1"/>
    <row r="335" ht="16.05" customHeight="1"/>
    <row r="336" ht="16.05" customHeight="1"/>
    <row r="337" ht="16.05" customHeight="1"/>
    <row r="338" ht="16.05" customHeight="1"/>
    <row r="339" ht="16.05" customHeight="1"/>
    <row r="340" ht="16.05" customHeight="1"/>
    <row r="341" ht="16.05" customHeight="1"/>
    <row r="342" ht="16.05" customHeight="1"/>
    <row r="343" ht="16.05" customHeight="1"/>
    <row r="344" ht="16.05" customHeight="1"/>
    <row r="345" ht="16.05" customHeight="1"/>
    <row r="346" ht="16.05" customHeight="1"/>
    <row r="347" ht="16.05" customHeight="1"/>
    <row r="348" ht="16.05" customHeight="1"/>
    <row r="349" ht="16.05" customHeight="1"/>
    <row r="350" ht="16.05" customHeight="1"/>
    <row r="351" ht="16.05" customHeight="1"/>
    <row r="352" ht="16.05" customHeight="1"/>
    <row r="353" ht="16.05" customHeight="1"/>
    <row r="354" ht="16.05" customHeight="1"/>
    <row r="355" ht="16.05" customHeight="1"/>
    <row r="356" ht="16.05" customHeight="1"/>
    <row r="357" ht="16.05" customHeight="1"/>
    <row r="358" ht="16.05" customHeight="1"/>
    <row r="359" ht="16.05" customHeight="1"/>
    <row r="360" ht="16.05" customHeight="1"/>
    <row r="361" ht="16.05" customHeight="1"/>
    <row r="362" ht="16.05" customHeight="1"/>
    <row r="363" ht="16.05" customHeight="1"/>
    <row r="364" ht="16.05" customHeight="1"/>
    <row r="365" ht="16.05" customHeight="1"/>
    <row r="366" ht="16.05" customHeight="1"/>
    <row r="367" ht="16.05" customHeight="1"/>
    <row r="368" ht="16.05" customHeight="1"/>
    <row r="369" ht="16.05" customHeight="1"/>
    <row r="370" ht="16.05" customHeight="1"/>
    <row r="371" ht="16.05" customHeight="1"/>
    <row r="372" ht="16.05" customHeight="1"/>
    <row r="373" ht="16.05" customHeight="1"/>
    <row r="374" ht="16.05" customHeight="1"/>
    <row r="375" ht="16.05" customHeight="1"/>
    <row r="376" ht="16.05" customHeight="1"/>
    <row r="377" ht="16.05" customHeight="1"/>
    <row r="378" ht="16.05" customHeight="1"/>
    <row r="379" ht="16.05" customHeight="1"/>
    <row r="380" ht="16.05" customHeight="1"/>
    <row r="381" ht="16.05" customHeight="1"/>
    <row r="382" ht="16.05" customHeight="1"/>
    <row r="383" ht="16.05" customHeight="1"/>
    <row r="384" ht="16.05" customHeight="1"/>
    <row r="385" ht="16.05" customHeight="1"/>
    <row r="386" ht="16.05" customHeight="1"/>
    <row r="387" ht="16.05" customHeight="1"/>
    <row r="388" ht="16.05" customHeight="1"/>
    <row r="389" ht="16.05" customHeight="1"/>
    <row r="390" ht="16.05" customHeight="1"/>
    <row r="391" ht="16.05" customHeight="1"/>
    <row r="392" ht="16.05" customHeight="1"/>
    <row r="393" ht="16.05" customHeight="1"/>
    <row r="394" ht="16.05" customHeight="1"/>
    <row r="395" ht="16.05" customHeight="1"/>
    <row r="396" ht="16.05" customHeight="1"/>
    <row r="397" ht="16.05" customHeight="1"/>
    <row r="398" ht="16.05" customHeight="1"/>
    <row r="399" ht="16.05" customHeight="1"/>
    <row r="400" ht="16.05" customHeight="1"/>
    <row r="401" ht="16.05" customHeight="1"/>
    <row r="402" ht="16.05" customHeight="1"/>
    <row r="403" ht="16.05" customHeight="1"/>
    <row r="404" ht="16.05" customHeight="1"/>
    <row r="405" ht="16.05" customHeight="1"/>
    <row r="406" ht="16.05" customHeight="1"/>
    <row r="407" ht="16.05" customHeight="1"/>
    <row r="408" ht="16.05" customHeight="1"/>
    <row r="409" ht="16.05" customHeight="1"/>
    <row r="410" ht="16.05" customHeight="1"/>
    <row r="411" ht="16.05" customHeight="1"/>
    <row r="412" ht="16.05" customHeight="1"/>
    <row r="413" ht="16.05" customHeight="1"/>
    <row r="414" ht="16.05" customHeight="1"/>
    <row r="415" ht="16.05" customHeight="1"/>
    <row r="416" ht="16.05" customHeight="1"/>
    <row r="417" ht="16.05" customHeight="1"/>
    <row r="418" ht="16.05" customHeight="1"/>
    <row r="419" ht="16.05" customHeight="1"/>
    <row r="420" ht="16.05" customHeight="1"/>
    <row r="421" ht="16.05" customHeight="1"/>
    <row r="422" ht="16.05" customHeight="1"/>
    <row r="423" ht="16.05" customHeight="1"/>
    <row r="424" ht="16.05" customHeight="1"/>
    <row r="425" ht="16.05" customHeight="1"/>
    <row r="426" ht="16.05" customHeight="1"/>
    <row r="427" ht="16.05" customHeight="1"/>
    <row r="428" ht="16.05" customHeight="1"/>
    <row r="429" ht="16.05" customHeight="1"/>
    <row r="430" ht="16.05" customHeight="1"/>
    <row r="431" ht="16.05" customHeight="1"/>
    <row r="432" ht="16.05" customHeight="1"/>
    <row r="433" ht="16.05" customHeight="1"/>
    <row r="434" ht="16.05" customHeight="1"/>
    <row r="435" ht="16.05" customHeight="1"/>
    <row r="436" ht="16.05" customHeight="1"/>
    <row r="437" ht="16.05" customHeight="1"/>
    <row r="438" ht="16.05" customHeight="1"/>
    <row r="439" ht="16.05" customHeight="1"/>
    <row r="440" ht="16.05" customHeight="1"/>
    <row r="441" ht="16.05" customHeight="1"/>
    <row r="442" ht="16.05" customHeight="1"/>
    <row r="443" ht="16.05" customHeight="1"/>
    <row r="444" ht="16.05" customHeight="1"/>
    <row r="445" ht="16.05" customHeight="1"/>
    <row r="446" ht="16.05" customHeight="1"/>
    <row r="447" ht="16.05" customHeight="1"/>
    <row r="448" ht="16.05" customHeight="1"/>
    <row r="449" ht="16.05" customHeight="1"/>
    <row r="450" ht="16.05" customHeight="1"/>
    <row r="451" ht="16.05" customHeight="1"/>
    <row r="452" ht="16.05" customHeight="1"/>
    <row r="453" ht="16.05" customHeight="1"/>
    <row r="454" ht="16.05" customHeight="1"/>
    <row r="455" ht="16.05" customHeight="1"/>
    <row r="456" ht="16.05" customHeight="1"/>
    <row r="457" ht="16.05" customHeight="1"/>
    <row r="458" ht="16.05" customHeight="1"/>
    <row r="459" ht="16.05" customHeight="1"/>
    <row r="460" ht="16.05" customHeight="1"/>
    <row r="461" ht="16.05" customHeight="1"/>
    <row r="462" ht="16.05" customHeight="1"/>
    <row r="463" ht="16.05" customHeight="1"/>
    <row r="464" ht="16.05" customHeight="1"/>
    <row r="465" ht="16.05" customHeight="1"/>
    <row r="466" ht="16.05" customHeight="1"/>
    <row r="467" ht="16.05" customHeight="1"/>
    <row r="468" ht="16.05" customHeight="1"/>
    <row r="469" ht="16.05" customHeight="1"/>
    <row r="470" ht="16.05" customHeight="1"/>
    <row r="471" ht="16.05" customHeight="1"/>
    <row r="472" ht="16.05" customHeight="1"/>
    <row r="473" ht="16.05" customHeight="1"/>
    <row r="474" ht="16.05" customHeight="1"/>
    <row r="475" ht="16.05" customHeight="1"/>
    <row r="476" ht="16.05" customHeight="1"/>
    <row r="477" ht="16.05" customHeight="1"/>
    <row r="478" ht="16.05" customHeight="1"/>
    <row r="479" ht="16.05" customHeight="1"/>
    <row r="480" ht="16.05" customHeight="1"/>
    <row r="481" ht="16.05" customHeight="1"/>
    <row r="482" ht="16.05" customHeight="1"/>
    <row r="483" ht="16.05" customHeight="1"/>
    <row r="484" ht="16.05" customHeight="1"/>
    <row r="485" ht="16.05" customHeight="1"/>
    <row r="486" ht="16.05" customHeight="1"/>
    <row r="487" ht="16.05" customHeight="1"/>
    <row r="488" ht="16.05" customHeight="1"/>
    <row r="489" ht="16.05" customHeight="1"/>
    <row r="490" ht="16.05" customHeight="1"/>
    <row r="491" ht="16.05" customHeight="1"/>
    <row r="492" ht="16.05" customHeight="1"/>
    <row r="493" ht="16.05" customHeight="1"/>
    <row r="494" ht="16.05" customHeight="1"/>
    <row r="495" ht="16.05" customHeight="1"/>
    <row r="496" ht="16.05" customHeight="1"/>
    <row r="497" ht="16.05" customHeight="1"/>
    <row r="498" ht="16.05" customHeight="1"/>
    <row r="499" ht="16.05" customHeight="1"/>
    <row r="500" ht="16.0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0"/>
  <sheetViews>
    <sheetView topLeftCell="A109" workbookViewId="0">
      <selection activeCell="H36" sqref="H36"/>
    </sheetView>
  </sheetViews>
  <sheetFormatPr defaultRowHeight="13.8"/>
  <cols>
    <col min="1" max="1" width="30.19921875" bestFit="1" customWidth="1"/>
    <col min="2" max="2" width="37.69921875" customWidth="1"/>
    <col min="3" max="3" width="38.5" bestFit="1" customWidth="1"/>
    <col min="4" max="4" width="30.59765625" bestFit="1" customWidth="1"/>
    <col min="5" max="5" width="17.5" bestFit="1" customWidth="1"/>
    <col min="6" max="6" width="18.3984375" bestFit="1" customWidth="1"/>
    <col min="7" max="7" width="17.59765625" bestFit="1" customWidth="1"/>
    <col min="8" max="8" width="41.09765625" bestFit="1" customWidth="1"/>
    <col min="9" max="9" width="22.69921875" bestFit="1" customWidth="1"/>
    <col min="10" max="10" width="13.3984375" bestFit="1" customWidth="1"/>
    <col min="11" max="11" width="11.09765625" bestFit="1" customWidth="1"/>
    <col min="12" max="12" width="16.3984375" bestFit="1" customWidth="1"/>
    <col min="13" max="13" width="53" bestFit="1" customWidth="1"/>
    <col min="14" max="14" width="18.5" bestFit="1" customWidth="1"/>
    <col min="15" max="15" width="255.69921875" bestFit="1" customWidth="1"/>
  </cols>
  <sheetData>
    <row r="1" spans="1:15" ht="16.05" customHeight="1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24</v>
      </c>
      <c r="G1" s="3" t="s">
        <v>68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  <c r="O1" s="3" t="s">
        <v>76</v>
      </c>
    </row>
    <row r="2" spans="1:15" ht="16.05" customHeight="1">
      <c r="A2" t="s">
        <v>77</v>
      </c>
      <c r="B2" t="s">
        <v>78</v>
      </c>
      <c r="C2" t="s">
        <v>77</v>
      </c>
      <c r="D2" t="s">
        <v>79</v>
      </c>
      <c r="E2" t="s">
        <v>80</v>
      </c>
      <c r="F2" t="s">
        <v>31</v>
      </c>
      <c r="G2" t="s">
        <v>31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>
        <v>2</v>
      </c>
      <c r="O2" t="s">
        <v>86</v>
      </c>
    </row>
    <row r="3" spans="1:15" ht="16.05" customHeight="1">
      <c r="A3" t="s">
        <v>87</v>
      </c>
      <c r="B3" t="s">
        <v>88</v>
      </c>
      <c r="C3" t="s">
        <v>89</v>
      </c>
      <c r="D3" t="s">
        <v>88</v>
      </c>
      <c r="E3" t="s">
        <v>90</v>
      </c>
      <c r="F3" t="s">
        <v>31</v>
      </c>
      <c r="G3" t="s">
        <v>31</v>
      </c>
      <c r="I3" t="s">
        <v>91</v>
      </c>
      <c r="J3" t="s">
        <v>82</v>
      </c>
      <c r="K3" t="s">
        <v>83</v>
      </c>
      <c r="L3" t="s">
        <v>84</v>
      </c>
      <c r="M3" t="s">
        <v>85</v>
      </c>
      <c r="N3">
        <v>2</v>
      </c>
      <c r="O3" t="s">
        <v>86</v>
      </c>
    </row>
    <row r="4" spans="1:15" ht="16.05" customHeight="1">
      <c r="A4" t="s">
        <v>92</v>
      </c>
      <c r="B4" t="s">
        <v>93</v>
      </c>
      <c r="C4" t="s">
        <v>92</v>
      </c>
      <c r="D4" t="s">
        <v>93</v>
      </c>
      <c r="E4" t="s">
        <v>94</v>
      </c>
      <c r="F4" t="s">
        <v>31</v>
      </c>
      <c r="G4" t="s">
        <v>31</v>
      </c>
      <c r="I4" t="s">
        <v>95</v>
      </c>
      <c r="J4" t="s">
        <v>82</v>
      </c>
      <c r="K4" t="s">
        <v>83</v>
      </c>
      <c r="L4" t="s">
        <v>84</v>
      </c>
      <c r="M4" t="s">
        <v>85</v>
      </c>
      <c r="N4">
        <v>3</v>
      </c>
      <c r="O4" t="s">
        <v>96</v>
      </c>
    </row>
    <row r="5" spans="1:15" ht="16.05" customHeight="1">
      <c r="A5" t="s">
        <v>97</v>
      </c>
      <c r="B5" t="s">
        <v>98</v>
      </c>
      <c r="C5" t="s">
        <v>99</v>
      </c>
      <c r="D5" t="s">
        <v>100</v>
      </c>
      <c r="E5" t="s">
        <v>101</v>
      </c>
      <c r="F5" t="s">
        <v>31</v>
      </c>
      <c r="G5" t="s">
        <v>31</v>
      </c>
      <c r="I5" t="s">
        <v>102</v>
      </c>
      <c r="J5" t="s">
        <v>82</v>
      </c>
      <c r="K5" t="s">
        <v>83</v>
      </c>
      <c r="L5" t="s">
        <v>84</v>
      </c>
      <c r="M5" t="s">
        <v>85</v>
      </c>
      <c r="N5">
        <v>2</v>
      </c>
      <c r="O5" t="s">
        <v>86</v>
      </c>
    </row>
    <row r="6" spans="1:15" ht="16.05" customHeight="1">
      <c r="A6" t="s">
        <v>103</v>
      </c>
      <c r="B6" t="s">
        <v>104</v>
      </c>
      <c r="C6" t="s">
        <v>103</v>
      </c>
      <c r="D6" t="s">
        <v>104</v>
      </c>
      <c r="E6" t="s">
        <v>105</v>
      </c>
      <c r="F6" t="s">
        <v>31</v>
      </c>
      <c r="G6" t="s">
        <v>31</v>
      </c>
      <c r="I6" t="s">
        <v>106</v>
      </c>
      <c r="J6" t="s">
        <v>82</v>
      </c>
      <c r="K6" t="s">
        <v>83</v>
      </c>
      <c r="L6" t="s">
        <v>84</v>
      </c>
      <c r="M6" t="s">
        <v>85</v>
      </c>
      <c r="N6">
        <v>2</v>
      </c>
      <c r="O6" t="s">
        <v>86</v>
      </c>
    </row>
    <row r="7" spans="1:15" ht="16.05" customHeight="1">
      <c r="A7" t="s">
        <v>107</v>
      </c>
      <c r="B7" t="s">
        <v>108</v>
      </c>
      <c r="C7" t="s">
        <v>107</v>
      </c>
      <c r="D7" t="s">
        <v>109</v>
      </c>
      <c r="E7" t="s">
        <v>110</v>
      </c>
      <c r="F7" t="s">
        <v>31</v>
      </c>
      <c r="G7" t="s">
        <v>31</v>
      </c>
      <c r="I7" t="s">
        <v>111</v>
      </c>
      <c r="J7" t="s">
        <v>82</v>
      </c>
      <c r="K7" t="s">
        <v>112</v>
      </c>
      <c r="L7" t="s">
        <v>84</v>
      </c>
      <c r="M7" t="s">
        <v>113</v>
      </c>
      <c r="N7">
        <v>2</v>
      </c>
      <c r="O7" t="s">
        <v>114</v>
      </c>
    </row>
    <row r="8" spans="1:15" ht="16.05" customHeight="1">
      <c r="A8" t="s">
        <v>115</v>
      </c>
      <c r="B8" t="s">
        <v>116</v>
      </c>
      <c r="C8" t="s">
        <v>115</v>
      </c>
      <c r="D8" t="s">
        <v>117</v>
      </c>
      <c r="E8" t="s">
        <v>118</v>
      </c>
      <c r="F8" t="s">
        <v>31</v>
      </c>
      <c r="G8" t="s">
        <v>31</v>
      </c>
      <c r="I8" t="s">
        <v>119</v>
      </c>
      <c r="J8" t="s">
        <v>82</v>
      </c>
      <c r="K8" t="s">
        <v>112</v>
      </c>
      <c r="L8" t="s">
        <v>84</v>
      </c>
      <c r="M8" t="s">
        <v>113</v>
      </c>
      <c r="N8">
        <v>2</v>
      </c>
      <c r="O8" t="s">
        <v>114</v>
      </c>
    </row>
    <row r="9" spans="1:15" ht="16.05" customHeight="1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31</v>
      </c>
      <c r="G9" t="s">
        <v>31</v>
      </c>
      <c r="I9" t="s">
        <v>125</v>
      </c>
      <c r="J9" t="s">
        <v>82</v>
      </c>
      <c r="K9" t="s">
        <v>112</v>
      </c>
      <c r="L9" t="s">
        <v>84</v>
      </c>
      <c r="M9" t="s">
        <v>126</v>
      </c>
      <c r="N9">
        <v>2</v>
      </c>
      <c r="O9" t="s">
        <v>114</v>
      </c>
    </row>
    <row r="10" spans="1:15" ht="16.05" customHeight="1">
      <c r="A10" t="s">
        <v>127</v>
      </c>
      <c r="B10" t="s">
        <v>128</v>
      </c>
      <c r="C10" t="s">
        <v>127</v>
      </c>
      <c r="D10" t="s">
        <v>129</v>
      </c>
      <c r="E10" t="s">
        <v>130</v>
      </c>
      <c r="F10" t="s">
        <v>31</v>
      </c>
      <c r="G10" t="s">
        <v>31</v>
      </c>
      <c r="I10" t="s">
        <v>131</v>
      </c>
      <c r="J10" t="s">
        <v>82</v>
      </c>
      <c r="K10" t="s">
        <v>83</v>
      </c>
      <c r="L10" t="s">
        <v>84</v>
      </c>
      <c r="M10" t="s">
        <v>85</v>
      </c>
      <c r="N10">
        <v>3</v>
      </c>
      <c r="O10" t="s">
        <v>96</v>
      </c>
    </row>
    <row r="11" spans="1:15" ht="16.05" customHeight="1">
      <c r="A11" t="s">
        <v>132</v>
      </c>
      <c r="B11" t="s">
        <v>133</v>
      </c>
      <c r="C11" t="s">
        <v>132</v>
      </c>
      <c r="D11" t="s">
        <v>134</v>
      </c>
      <c r="E11" t="s">
        <v>135</v>
      </c>
      <c r="F11" t="s">
        <v>31</v>
      </c>
      <c r="G11" t="s">
        <v>31</v>
      </c>
      <c r="I11" t="s">
        <v>136</v>
      </c>
      <c r="J11" t="s">
        <v>82</v>
      </c>
      <c r="K11" t="s">
        <v>83</v>
      </c>
      <c r="L11" t="s">
        <v>84</v>
      </c>
      <c r="M11" t="s">
        <v>85</v>
      </c>
      <c r="N11">
        <v>2</v>
      </c>
      <c r="O11" t="s">
        <v>86</v>
      </c>
    </row>
    <row r="12" spans="1:15" ht="16.05" customHeight="1">
      <c r="A12" t="s">
        <v>137</v>
      </c>
      <c r="B12" t="s">
        <v>138</v>
      </c>
      <c r="C12" t="s">
        <v>139</v>
      </c>
      <c r="D12" t="s">
        <v>140</v>
      </c>
      <c r="E12" t="s">
        <v>141</v>
      </c>
      <c r="F12" t="s">
        <v>31</v>
      </c>
      <c r="G12" t="s">
        <v>31</v>
      </c>
      <c r="I12" t="s">
        <v>142</v>
      </c>
      <c r="J12" t="s">
        <v>82</v>
      </c>
      <c r="K12" t="s">
        <v>83</v>
      </c>
      <c r="L12" t="s">
        <v>84</v>
      </c>
      <c r="M12" t="s">
        <v>85</v>
      </c>
      <c r="N12">
        <v>2</v>
      </c>
      <c r="O12" t="s">
        <v>86</v>
      </c>
    </row>
    <row r="13" spans="1:15" ht="16.05" customHeight="1">
      <c r="A13" t="s">
        <v>143</v>
      </c>
      <c r="B13" t="s">
        <v>144</v>
      </c>
      <c r="C13" t="s">
        <v>145</v>
      </c>
      <c r="D13" t="s">
        <v>146</v>
      </c>
      <c r="E13" t="s">
        <v>147</v>
      </c>
      <c r="F13" t="s">
        <v>31</v>
      </c>
      <c r="G13" t="s">
        <v>31</v>
      </c>
      <c r="I13" t="s">
        <v>148</v>
      </c>
      <c r="J13" t="s">
        <v>82</v>
      </c>
      <c r="K13" t="s">
        <v>83</v>
      </c>
      <c r="L13" t="s">
        <v>84</v>
      </c>
      <c r="M13" t="s">
        <v>85</v>
      </c>
      <c r="N13">
        <v>2</v>
      </c>
      <c r="O13" t="s">
        <v>86</v>
      </c>
    </row>
    <row r="14" spans="1:15" ht="16.05" customHeight="1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t="s">
        <v>31</v>
      </c>
      <c r="G14" t="s">
        <v>31</v>
      </c>
      <c r="I14" t="s">
        <v>154</v>
      </c>
      <c r="J14" t="s">
        <v>82</v>
      </c>
      <c r="K14" t="s">
        <v>112</v>
      </c>
      <c r="L14" t="s">
        <v>84</v>
      </c>
      <c r="M14" t="s">
        <v>126</v>
      </c>
      <c r="N14">
        <v>2</v>
      </c>
      <c r="O14" t="s">
        <v>86</v>
      </c>
    </row>
    <row r="15" spans="1:15" ht="16.05" customHeight="1">
      <c r="A15" t="s">
        <v>155</v>
      </c>
      <c r="B15" t="s">
        <v>156</v>
      </c>
      <c r="C15" t="s">
        <v>157</v>
      </c>
      <c r="D15" t="s">
        <v>158</v>
      </c>
      <c r="E15" t="s">
        <v>159</v>
      </c>
      <c r="F15" t="s">
        <v>31</v>
      </c>
      <c r="G15" t="s">
        <v>31</v>
      </c>
      <c r="I15" t="s">
        <v>160</v>
      </c>
      <c r="J15" t="s">
        <v>82</v>
      </c>
      <c r="K15" t="s">
        <v>83</v>
      </c>
      <c r="L15" t="s">
        <v>84</v>
      </c>
      <c r="M15" t="s">
        <v>85</v>
      </c>
      <c r="N15">
        <v>3</v>
      </c>
      <c r="O15" t="s">
        <v>161</v>
      </c>
    </row>
    <row r="16" spans="1:15" ht="16.05" customHeight="1">
      <c r="A16" t="s">
        <v>162</v>
      </c>
      <c r="B16" t="s">
        <v>163</v>
      </c>
      <c r="C16" t="s">
        <v>162</v>
      </c>
      <c r="D16" t="s">
        <v>164</v>
      </c>
      <c r="E16" t="s">
        <v>165</v>
      </c>
      <c r="F16" t="s">
        <v>31</v>
      </c>
      <c r="G16" t="s">
        <v>31</v>
      </c>
      <c r="I16" t="s">
        <v>166</v>
      </c>
      <c r="J16" t="s">
        <v>82</v>
      </c>
      <c r="K16" t="s">
        <v>83</v>
      </c>
      <c r="L16" t="s">
        <v>84</v>
      </c>
      <c r="M16" t="s">
        <v>85</v>
      </c>
      <c r="N16">
        <v>1</v>
      </c>
      <c r="O16" t="s">
        <v>41</v>
      </c>
    </row>
    <row r="17" spans="1:15" ht="16.05" customHeight="1">
      <c r="A17" t="s">
        <v>167</v>
      </c>
      <c r="B17" t="s">
        <v>168</v>
      </c>
      <c r="C17" t="s">
        <v>167</v>
      </c>
      <c r="D17" t="s">
        <v>169</v>
      </c>
      <c r="E17" t="s">
        <v>170</v>
      </c>
      <c r="F17" t="s">
        <v>31</v>
      </c>
      <c r="G17" t="s">
        <v>31</v>
      </c>
      <c r="I17" t="s">
        <v>171</v>
      </c>
      <c r="J17" t="s">
        <v>82</v>
      </c>
      <c r="K17" t="s">
        <v>83</v>
      </c>
      <c r="L17" t="s">
        <v>84</v>
      </c>
      <c r="M17" t="s">
        <v>85</v>
      </c>
      <c r="N17">
        <v>3</v>
      </c>
      <c r="O17" t="s">
        <v>96</v>
      </c>
    </row>
    <row r="18" spans="1:15" ht="16.05" customHeight="1">
      <c r="A18" t="s">
        <v>172</v>
      </c>
      <c r="B18" t="s">
        <v>173</v>
      </c>
      <c r="C18" t="s">
        <v>172</v>
      </c>
      <c r="D18" t="s">
        <v>174</v>
      </c>
      <c r="E18" t="s">
        <v>175</v>
      </c>
      <c r="F18" t="s">
        <v>31</v>
      </c>
      <c r="G18" t="s">
        <v>31</v>
      </c>
      <c r="I18" t="s">
        <v>176</v>
      </c>
      <c r="J18" t="s">
        <v>82</v>
      </c>
      <c r="K18" t="s">
        <v>83</v>
      </c>
      <c r="L18" t="s">
        <v>84</v>
      </c>
      <c r="M18" t="s">
        <v>85</v>
      </c>
      <c r="N18">
        <v>2</v>
      </c>
      <c r="O18" t="s">
        <v>86</v>
      </c>
    </row>
    <row r="19" spans="1:15" ht="16.05" customHeight="1">
      <c r="A19" t="s">
        <v>177</v>
      </c>
      <c r="B19" t="s">
        <v>178</v>
      </c>
      <c r="C19" t="s">
        <v>179</v>
      </c>
      <c r="D19" t="s">
        <v>178</v>
      </c>
      <c r="E19" t="s">
        <v>180</v>
      </c>
      <c r="F19" t="s">
        <v>31</v>
      </c>
      <c r="G19" t="s">
        <v>31</v>
      </c>
      <c r="I19" t="s">
        <v>181</v>
      </c>
      <c r="J19" t="s">
        <v>82</v>
      </c>
      <c r="K19" t="s">
        <v>83</v>
      </c>
      <c r="L19" t="s">
        <v>84</v>
      </c>
      <c r="M19" t="s">
        <v>85</v>
      </c>
      <c r="N19">
        <v>2</v>
      </c>
      <c r="O19" t="s">
        <v>86</v>
      </c>
    </row>
    <row r="20" spans="1:15" ht="16.05" customHeight="1">
      <c r="A20" t="s">
        <v>182</v>
      </c>
      <c r="B20" t="s">
        <v>183</v>
      </c>
      <c r="C20" t="s">
        <v>182</v>
      </c>
      <c r="D20" t="s">
        <v>184</v>
      </c>
      <c r="E20" t="s">
        <v>185</v>
      </c>
      <c r="F20" t="s">
        <v>31</v>
      </c>
      <c r="G20" t="s">
        <v>31</v>
      </c>
      <c r="I20" t="s">
        <v>186</v>
      </c>
      <c r="J20" t="s">
        <v>82</v>
      </c>
      <c r="K20" t="s">
        <v>83</v>
      </c>
      <c r="L20" t="s">
        <v>84</v>
      </c>
      <c r="M20" t="s">
        <v>85</v>
      </c>
      <c r="N20">
        <v>3</v>
      </c>
      <c r="O20" t="s">
        <v>96</v>
      </c>
    </row>
    <row r="21" spans="1:15" ht="16.05" customHeight="1">
      <c r="A21" t="s">
        <v>187</v>
      </c>
      <c r="B21" t="s">
        <v>188</v>
      </c>
      <c r="C21" t="s">
        <v>189</v>
      </c>
      <c r="F21" t="s">
        <v>31</v>
      </c>
      <c r="G21" t="s">
        <v>31</v>
      </c>
      <c r="I21" t="s">
        <v>190</v>
      </c>
      <c r="J21" t="s">
        <v>82</v>
      </c>
      <c r="K21" t="s">
        <v>191</v>
      </c>
      <c r="L21" t="s">
        <v>192</v>
      </c>
      <c r="M21" t="s">
        <v>113</v>
      </c>
      <c r="N21">
        <v>2</v>
      </c>
      <c r="O21" t="s">
        <v>193</v>
      </c>
    </row>
    <row r="22" spans="1:15" ht="16.05" customHeight="1">
      <c r="A22" t="s">
        <v>194</v>
      </c>
      <c r="B22" t="s">
        <v>195</v>
      </c>
      <c r="C22" t="s">
        <v>196</v>
      </c>
      <c r="D22" t="s">
        <v>197</v>
      </c>
      <c r="E22" t="s">
        <v>198</v>
      </c>
      <c r="F22" t="s">
        <v>31</v>
      </c>
      <c r="G22" t="s">
        <v>31</v>
      </c>
      <c r="I22" t="s">
        <v>199</v>
      </c>
      <c r="J22" t="s">
        <v>82</v>
      </c>
      <c r="K22" t="s">
        <v>191</v>
      </c>
      <c r="L22" t="s">
        <v>192</v>
      </c>
      <c r="M22" t="s">
        <v>200</v>
      </c>
      <c r="N22">
        <v>9</v>
      </c>
      <c r="O22" t="s">
        <v>201</v>
      </c>
    </row>
    <row r="23" spans="1:15" ht="16.05" customHeight="1">
      <c r="A23" t="s">
        <v>202</v>
      </c>
      <c r="B23" t="s">
        <v>203</v>
      </c>
      <c r="C23" t="s">
        <v>204</v>
      </c>
      <c r="D23" t="s">
        <v>205</v>
      </c>
      <c r="E23" t="s">
        <v>206</v>
      </c>
      <c r="F23" t="s">
        <v>31</v>
      </c>
      <c r="G23" t="s">
        <v>31</v>
      </c>
      <c r="I23" t="s">
        <v>207</v>
      </c>
      <c r="J23" t="s">
        <v>82</v>
      </c>
      <c r="K23" t="s">
        <v>191</v>
      </c>
      <c r="L23" t="s">
        <v>192</v>
      </c>
      <c r="M23" t="s">
        <v>200</v>
      </c>
      <c r="N23">
        <v>3</v>
      </c>
      <c r="O23" t="s">
        <v>96</v>
      </c>
    </row>
    <row r="24" spans="1:15" ht="16.05" customHeight="1">
      <c r="A24" t="s">
        <v>208</v>
      </c>
      <c r="B24" t="s">
        <v>209</v>
      </c>
      <c r="C24" t="s">
        <v>210</v>
      </c>
      <c r="D24" t="s">
        <v>211</v>
      </c>
      <c r="E24" t="s">
        <v>212</v>
      </c>
      <c r="F24" t="s">
        <v>31</v>
      </c>
      <c r="G24" t="s">
        <v>31</v>
      </c>
      <c r="I24" t="s">
        <v>213</v>
      </c>
      <c r="J24" t="s">
        <v>82</v>
      </c>
      <c r="K24" t="s">
        <v>191</v>
      </c>
      <c r="L24" t="s">
        <v>192</v>
      </c>
      <c r="M24" t="s">
        <v>214</v>
      </c>
      <c r="N24">
        <v>2</v>
      </c>
      <c r="O24" t="s">
        <v>114</v>
      </c>
    </row>
    <row r="25" spans="1:15" ht="16.05" customHeight="1">
      <c r="A25" t="s">
        <v>215</v>
      </c>
      <c r="B25" t="s">
        <v>216</v>
      </c>
      <c r="C25" t="s">
        <v>217</v>
      </c>
      <c r="D25" t="s">
        <v>218</v>
      </c>
      <c r="E25" t="s">
        <v>219</v>
      </c>
      <c r="F25" t="s">
        <v>31</v>
      </c>
      <c r="G25" t="s">
        <v>31</v>
      </c>
      <c r="I25" t="s">
        <v>220</v>
      </c>
      <c r="J25" t="s">
        <v>82</v>
      </c>
      <c r="K25" t="s">
        <v>191</v>
      </c>
      <c r="L25" t="s">
        <v>192</v>
      </c>
      <c r="M25" t="s">
        <v>214</v>
      </c>
      <c r="N25">
        <v>9</v>
      </c>
      <c r="O25" t="s">
        <v>201</v>
      </c>
    </row>
    <row r="26" spans="1:15" ht="16.05" customHeight="1">
      <c r="A26" t="s">
        <v>221</v>
      </c>
      <c r="B26" t="s">
        <v>222</v>
      </c>
      <c r="C26" t="s">
        <v>223</v>
      </c>
      <c r="D26" t="s">
        <v>224</v>
      </c>
      <c r="E26" t="s">
        <v>225</v>
      </c>
      <c r="F26" t="s">
        <v>33</v>
      </c>
      <c r="G26" t="s">
        <v>226</v>
      </c>
      <c r="H26" t="s">
        <v>33</v>
      </c>
      <c r="I26" t="s">
        <v>227</v>
      </c>
      <c r="J26" t="s">
        <v>82</v>
      </c>
      <c r="K26" t="s">
        <v>83</v>
      </c>
      <c r="L26" t="s">
        <v>84</v>
      </c>
      <c r="M26" t="s">
        <v>85</v>
      </c>
      <c r="N26">
        <v>3</v>
      </c>
      <c r="O26" t="s">
        <v>228</v>
      </c>
    </row>
    <row r="27" spans="1:15" ht="16.05" customHeight="1">
      <c r="A27" t="s">
        <v>229</v>
      </c>
      <c r="B27" t="s">
        <v>230</v>
      </c>
      <c r="C27" t="s">
        <v>231</v>
      </c>
      <c r="D27" t="s">
        <v>232</v>
      </c>
      <c r="E27" t="s">
        <v>225</v>
      </c>
      <c r="F27" t="s">
        <v>33</v>
      </c>
      <c r="G27" t="s">
        <v>226</v>
      </c>
      <c r="H27" t="s">
        <v>33</v>
      </c>
      <c r="I27" t="s">
        <v>233</v>
      </c>
      <c r="J27" t="s">
        <v>82</v>
      </c>
      <c r="K27" t="s">
        <v>83</v>
      </c>
      <c r="L27" t="s">
        <v>84</v>
      </c>
      <c r="M27" t="s">
        <v>85</v>
      </c>
      <c r="N27">
        <v>3</v>
      </c>
      <c r="O27" t="s">
        <v>228</v>
      </c>
    </row>
    <row r="28" spans="1:15" ht="16.05" customHeight="1">
      <c r="A28" t="s">
        <v>234</v>
      </c>
      <c r="B28" t="s">
        <v>235</v>
      </c>
      <c r="C28" t="s">
        <v>234</v>
      </c>
      <c r="D28" t="s">
        <v>236</v>
      </c>
      <c r="E28" t="s">
        <v>225</v>
      </c>
      <c r="F28" t="s">
        <v>33</v>
      </c>
      <c r="G28" t="s">
        <v>226</v>
      </c>
      <c r="H28" t="s">
        <v>33</v>
      </c>
      <c r="I28" t="s">
        <v>237</v>
      </c>
      <c r="J28" t="s">
        <v>82</v>
      </c>
      <c r="K28" t="s">
        <v>83</v>
      </c>
      <c r="L28" t="s">
        <v>84</v>
      </c>
      <c r="M28" t="s">
        <v>85</v>
      </c>
      <c r="N28">
        <v>3</v>
      </c>
      <c r="O28" t="s">
        <v>228</v>
      </c>
    </row>
    <row r="29" spans="1:15" ht="16.05" customHeight="1">
      <c r="A29" t="s">
        <v>238</v>
      </c>
      <c r="B29" t="s">
        <v>239</v>
      </c>
      <c r="C29" t="s">
        <v>240</v>
      </c>
      <c r="D29" t="s">
        <v>241</v>
      </c>
      <c r="E29" t="s">
        <v>225</v>
      </c>
      <c r="F29" t="s">
        <v>33</v>
      </c>
      <c r="G29" t="s">
        <v>226</v>
      </c>
      <c r="H29" t="s">
        <v>33</v>
      </c>
      <c r="I29" t="s">
        <v>242</v>
      </c>
      <c r="J29" t="s">
        <v>82</v>
      </c>
      <c r="K29" t="s">
        <v>83</v>
      </c>
      <c r="L29" t="s">
        <v>84</v>
      </c>
      <c r="M29" t="s">
        <v>85</v>
      </c>
      <c r="N29">
        <v>3</v>
      </c>
      <c r="O29" t="s">
        <v>228</v>
      </c>
    </row>
    <row r="30" spans="1:15" ht="16.05" customHeight="1">
      <c r="A30" t="s">
        <v>243</v>
      </c>
      <c r="B30" t="s">
        <v>244</v>
      </c>
      <c r="C30" t="s">
        <v>243</v>
      </c>
      <c r="D30" t="s">
        <v>245</v>
      </c>
      <c r="E30" t="s">
        <v>225</v>
      </c>
      <c r="F30" t="s">
        <v>33</v>
      </c>
      <c r="G30" t="s">
        <v>226</v>
      </c>
      <c r="H30" t="s">
        <v>33</v>
      </c>
      <c r="I30" t="s">
        <v>246</v>
      </c>
      <c r="J30" t="s">
        <v>82</v>
      </c>
      <c r="K30" t="s">
        <v>83</v>
      </c>
      <c r="L30" t="s">
        <v>84</v>
      </c>
      <c r="M30" t="s">
        <v>85</v>
      </c>
      <c r="N30">
        <v>3</v>
      </c>
      <c r="O30" t="s">
        <v>228</v>
      </c>
    </row>
    <row r="31" spans="1:15" ht="16.05" customHeight="1">
      <c r="A31" t="s">
        <v>247</v>
      </c>
      <c r="B31" t="s">
        <v>248</v>
      </c>
      <c r="C31" t="s">
        <v>249</v>
      </c>
      <c r="D31" t="s">
        <v>250</v>
      </c>
      <c r="E31" t="s">
        <v>251</v>
      </c>
      <c r="F31" t="s">
        <v>33</v>
      </c>
      <c r="G31" t="s">
        <v>226</v>
      </c>
      <c r="H31" t="s">
        <v>33</v>
      </c>
      <c r="I31" t="s">
        <v>252</v>
      </c>
      <c r="J31" t="s">
        <v>82</v>
      </c>
      <c r="K31" t="s">
        <v>83</v>
      </c>
      <c r="L31" t="s">
        <v>84</v>
      </c>
      <c r="M31" t="s">
        <v>85</v>
      </c>
      <c r="N31">
        <v>2</v>
      </c>
      <c r="O31" t="s">
        <v>253</v>
      </c>
    </row>
    <row r="32" spans="1:15" ht="16.05" customHeight="1">
      <c r="A32" t="s">
        <v>254</v>
      </c>
      <c r="B32" t="s">
        <v>255</v>
      </c>
      <c r="C32" t="s">
        <v>254</v>
      </c>
      <c r="D32" t="s">
        <v>256</v>
      </c>
      <c r="E32" t="s">
        <v>257</v>
      </c>
      <c r="F32" t="s">
        <v>32</v>
      </c>
      <c r="G32" t="s">
        <v>226</v>
      </c>
      <c r="H32" t="s">
        <v>32</v>
      </c>
      <c r="I32" t="s">
        <v>258</v>
      </c>
      <c r="J32" t="s">
        <v>82</v>
      </c>
      <c r="K32" t="s">
        <v>83</v>
      </c>
      <c r="L32" t="s">
        <v>84</v>
      </c>
      <c r="M32" t="s">
        <v>85</v>
      </c>
      <c r="N32">
        <v>2</v>
      </c>
      <c r="O32" t="s">
        <v>86</v>
      </c>
    </row>
    <row r="33" spans="1:15" ht="16.05" customHeight="1">
      <c r="A33" t="s">
        <v>259</v>
      </c>
      <c r="B33" t="s">
        <v>260</v>
      </c>
      <c r="C33" t="s">
        <v>259</v>
      </c>
      <c r="D33" t="s">
        <v>261</v>
      </c>
      <c r="E33" t="s">
        <v>262</v>
      </c>
      <c r="F33" t="s">
        <v>32</v>
      </c>
      <c r="G33" t="s">
        <v>226</v>
      </c>
      <c r="H33" t="s">
        <v>32</v>
      </c>
      <c r="I33" t="s">
        <v>263</v>
      </c>
      <c r="J33" t="s">
        <v>82</v>
      </c>
      <c r="K33" t="s">
        <v>83</v>
      </c>
      <c r="L33" t="s">
        <v>84</v>
      </c>
      <c r="M33" t="s">
        <v>85</v>
      </c>
      <c r="N33">
        <v>2</v>
      </c>
      <c r="O33" t="s">
        <v>86</v>
      </c>
    </row>
    <row r="34" spans="1:15" ht="16.05" customHeight="1">
      <c r="A34" t="s">
        <v>264</v>
      </c>
      <c r="B34" t="s">
        <v>265</v>
      </c>
      <c r="C34" t="s">
        <v>266</v>
      </c>
      <c r="D34" t="s">
        <v>267</v>
      </c>
      <c r="E34" t="s">
        <v>268</v>
      </c>
      <c r="F34" t="s">
        <v>32</v>
      </c>
      <c r="G34" t="s">
        <v>226</v>
      </c>
      <c r="H34" t="s">
        <v>32</v>
      </c>
      <c r="I34" t="s">
        <v>269</v>
      </c>
      <c r="J34" t="s">
        <v>82</v>
      </c>
      <c r="K34" t="s">
        <v>83</v>
      </c>
      <c r="L34" t="s">
        <v>84</v>
      </c>
      <c r="M34" t="s">
        <v>85</v>
      </c>
      <c r="N34">
        <v>3</v>
      </c>
      <c r="O34" t="s">
        <v>228</v>
      </c>
    </row>
    <row r="35" spans="1:15" ht="16.05" customHeight="1">
      <c r="A35" t="s">
        <v>270</v>
      </c>
      <c r="B35" t="s">
        <v>271</v>
      </c>
      <c r="C35" t="s">
        <v>272</v>
      </c>
      <c r="D35" t="s">
        <v>273</v>
      </c>
      <c r="E35" t="s">
        <v>274</v>
      </c>
      <c r="F35" t="s">
        <v>32</v>
      </c>
      <c r="G35" t="s">
        <v>226</v>
      </c>
      <c r="H35" t="s">
        <v>32</v>
      </c>
      <c r="I35" t="s">
        <v>275</v>
      </c>
      <c r="J35" t="s">
        <v>82</v>
      </c>
      <c r="K35" t="s">
        <v>83</v>
      </c>
      <c r="L35" t="s">
        <v>84</v>
      </c>
      <c r="M35" t="s">
        <v>85</v>
      </c>
      <c r="N35">
        <v>3</v>
      </c>
      <c r="O35" t="s">
        <v>276</v>
      </c>
    </row>
    <row r="36" spans="1:15" ht="16.05" customHeight="1">
      <c r="A36" t="s">
        <v>277</v>
      </c>
      <c r="B36" t="s">
        <v>278</v>
      </c>
      <c r="F36" t="s">
        <v>31</v>
      </c>
      <c r="J36" t="s">
        <v>279</v>
      </c>
      <c r="K36" t="s">
        <v>83</v>
      </c>
      <c r="L36" t="s">
        <v>84</v>
      </c>
      <c r="M36" t="s">
        <v>280</v>
      </c>
      <c r="N36">
        <v>2</v>
      </c>
      <c r="O36" t="s">
        <v>281</v>
      </c>
    </row>
    <row r="37" spans="1:15" ht="16.05" customHeight="1">
      <c r="A37" t="s">
        <v>282</v>
      </c>
      <c r="B37" t="s">
        <v>283</v>
      </c>
      <c r="F37" t="s">
        <v>30</v>
      </c>
      <c r="J37" t="s">
        <v>279</v>
      </c>
      <c r="K37" t="s">
        <v>83</v>
      </c>
      <c r="L37" t="s">
        <v>84</v>
      </c>
      <c r="M37" t="s">
        <v>280</v>
      </c>
      <c r="N37">
        <v>3</v>
      </c>
      <c r="O37" t="s">
        <v>284</v>
      </c>
    </row>
    <row r="38" spans="1:15" ht="16.05" customHeight="1">
      <c r="A38" t="s">
        <v>285</v>
      </c>
      <c r="B38" t="s">
        <v>286</v>
      </c>
      <c r="C38" t="s">
        <v>285</v>
      </c>
      <c r="D38" t="s">
        <v>287</v>
      </c>
      <c r="E38" t="s">
        <v>288</v>
      </c>
      <c r="F38" t="s">
        <v>30</v>
      </c>
      <c r="G38" t="s">
        <v>289</v>
      </c>
      <c r="I38" t="s">
        <v>290</v>
      </c>
      <c r="J38" t="s">
        <v>82</v>
      </c>
      <c r="K38" t="s">
        <v>83</v>
      </c>
      <c r="L38" t="s">
        <v>84</v>
      </c>
      <c r="M38" t="s">
        <v>85</v>
      </c>
      <c r="N38">
        <v>4</v>
      </c>
      <c r="O38" t="s">
        <v>291</v>
      </c>
    </row>
    <row r="39" spans="1:15" ht="16.05" customHeight="1">
      <c r="A39" t="s">
        <v>292</v>
      </c>
      <c r="B39" t="s">
        <v>293</v>
      </c>
      <c r="C39" t="s">
        <v>294</v>
      </c>
      <c r="D39" t="s">
        <v>295</v>
      </c>
      <c r="E39" t="s">
        <v>296</v>
      </c>
      <c r="F39" t="s">
        <v>30</v>
      </c>
      <c r="G39" t="s">
        <v>226</v>
      </c>
      <c r="H39" t="s">
        <v>297</v>
      </c>
      <c r="I39" t="s">
        <v>298</v>
      </c>
      <c r="J39" t="s">
        <v>82</v>
      </c>
      <c r="K39" t="s">
        <v>83</v>
      </c>
      <c r="L39" t="s">
        <v>84</v>
      </c>
      <c r="M39" t="s">
        <v>85</v>
      </c>
      <c r="N39">
        <v>4</v>
      </c>
      <c r="O39" t="s">
        <v>299</v>
      </c>
    </row>
    <row r="40" spans="1:15" ht="16.05" customHeight="1">
      <c r="A40" t="s">
        <v>300</v>
      </c>
      <c r="B40" t="s">
        <v>301</v>
      </c>
      <c r="C40" t="s">
        <v>302</v>
      </c>
      <c r="D40" t="s">
        <v>303</v>
      </c>
      <c r="E40" t="s">
        <v>304</v>
      </c>
      <c r="F40" t="s">
        <v>30</v>
      </c>
      <c r="G40" t="s">
        <v>289</v>
      </c>
      <c r="H40" t="s">
        <v>305</v>
      </c>
      <c r="I40" t="s">
        <v>306</v>
      </c>
      <c r="J40" t="s">
        <v>82</v>
      </c>
      <c r="K40" t="s">
        <v>83</v>
      </c>
      <c r="L40" t="s">
        <v>84</v>
      </c>
      <c r="M40" t="s">
        <v>85</v>
      </c>
      <c r="N40">
        <v>4</v>
      </c>
      <c r="O40" t="s">
        <v>307</v>
      </c>
    </row>
    <row r="41" spans="1:15" ht="16.05" customHeight="1">
      <c r="A41" t="s">
        <v>308</v>
      </c>
      <c r="B41" t="s">
        <v>309</v>
      </c>
      <c r="C41" t="s">
        <v>308</v>
      </c>
      <c r="D41" t="s">
        <v>310</v>
      </c>
      <c r="E41" t="s">
        <v>311</v>
      </c>
      <c r="F41" t="s">
        <v>30</v>
      </c>
      <c r="G41" t="s">
        <v>289</v>
      </c>
      <c r="H41" t="s">
        <v>312</v>
      </c>
      <c r="I41" t="s">
        <v>313</v>
      </c>
      <c r="J41" t="s">
        <v>82</v>
      </c>
      <c r="K41" t="s">
        <v>83</v>
      </c>
      <c r="L41" t="s">
        <v>84</v>
      </c>
      <c r="M41" t="s">
        <v>85</v>
      </c>
      <c r="N41">
        <v>2</v>
      </c>
      <c r="O41" t="s">
        <v>86</v>
      </c>
    </row>
    <row r="42" spans="1:15" ht="16.05" customHeight="1">
      <c r="A42" t="s">
        <v>314</v>
      </c>
      <c r="B42" t="s">
        <v>315</v>
      </c>
      <c r="C42" t="s">
        <v>316</v>
      </c>
      <c r="D42" t="s">
        <v>317</v>
      </c>
      <c r="E42" t="s">
        <v>318</v>
      </c>
      <c r="F42" t="s">
        <v>30</v>
      </c>
      <c r="G42" t="s">
        <v>289</v>
      </c>
      <c r="H42" t="s">
        <v>319</v>
      </c>
      <c r="I42" t="s">
        <v>320</v>
      </c>
      <c r="J42" t="s">
        <v>82</v>
      </c>
      <c r="K42" t="s">
        <v>83</v>
      </c>
      <c r="L42" t="s">
        <v>84</v>
      </c>
      <c r="M42" t="s">
        <v>85</v>
      </c>
      <c r="N42">
        <v>3</v>
      </c>
      <c r="O42" t="s">
        <v>321</v>
      </c>
    </row>
    <row r="43" spans="1:15" ht="16.05" customHeight="1">
      <c r="A43" t="s">
        <v>322</v>
      </c>
      <c r="B43" t="s">
        <v>323</v>
      </c>
      <c r="C43" t="s">
        <v>324</v>
      </c>
      <c r="D43" t="s">
        <v>325</v>
      </c>
      <c r="E43" t="s">
        <v>326</v>
      </c>
      <c r="F43" t="s">
        <v>30</v>
      </c>
      <c r="G43" t="s">
        <v>226</v>
      </c>
      <c r="H43" t="s">
        <v>327</v>
      </c>
      <c r="I43" t="s">
        <v>328</v>
      </c>
      <c r="J43" t="s">
        <v>82</v>
      </c>
      <c r="K43" t="s">
        <v>83</v>
      </c>
      <c r="L43" t="s">
        <v>84</v>
      </c>
      <c r="M43" t="s">
        <v>85</v>
      </c>
      <c r="N43">
        <v>4</v>
      </c>
      <c r="O43" t="s">
        <v>307</v>
      </c>
    </row>
    <row r="44" spans="1:15" ht="16.05" customHeight="1">
      <c r="A44" t="s">
        <v>329</v>
      </c>
      <c r="B44" t="s">
        <v>330</v>
      </c>
      <c r="C44" t="s">
        <v>329</v>
      </c>
      <c r="D44" t="s">
        <v>331</v>
      </c>
      <c r="E44" t="s">
        <v>332</v>
      </c>
      <c r="F44" t="s">
        <v>30</v>
      </c>
      <c r="G44" t="s">
        <v>226</v>
      </c>
      <c r="H44" t="s">
        <v>333</v>
      </c>
      <c r="I44" t="s">
        <v>334</v>
      </c>
      <c r="J44" t="s">
        <v>82</v>
      </c>
      <c r="K44" t="s">
        <v>83</v>
      </c>
      <c r="L44" t="s">
        <v>84</v>
      </c>
      <c r="M44" t="s">
        <v>85</v>
      </c>
      <c r="N44">
        <v>7</v>
      </c>
      <c r="O44" t="s">
        <v>335</v>
      </c>
    </row>
    <row r="45" spans="1:15" ht="16.05" customHeight="1">
      <c r="A45" t="s">
        <v>336</v>
      </c>
      <c r="B45" t="s">
        <v>337</v>
      </c>
      <c r="C45" t="s">
        <v>336</v>
      </c>
      <c r="D45" t="s">
        <v>338</v>
      </c>
      <c r="E45" t="s">
        <v>339</v>
      </c>
      <c r="F45" t="s">
        <v>30</v>
      </c>
      <c r="G45" t="s">
        <v>289</v>
      </c>
      <c r="H45" t="s">
        <v>327</v>
      </c>
      <c r="I45" t="s">
        <v>340</v>
      </c>
      <c r="J45" t="s">
        <v>82</v>
      </c>
      <c r="K45" t="s">
        <v>83</v>
      </c>
      <c r="L45" t="s">
        <v>84</v>
      </c>
      <c r="M45" t="s">
        <v>85</v>
      </c>
      <c r="N45">
        <v>2</v>
      </c>
      <c r="O45" t="s">
        <v>86</v>
      </c>
    </row>
    <row r="46" spans="1:15" ht="16.05" customHeight="1">
      <c r="A46" t="s">
        <v>341</v>
      </c>
      <c r="B46" t="s">
        <v>342</v>
      </c>
      <c r="C46" t="s">
        <v>341</v>
      </c>
      <c r="D46" t="s">
        <v>343</v>
      </c>
      <c r="E46" t="s">
        <v>344</v>
      </c>
      <c r="F46" t="s">
        <v>30</v>
      </c>
      <c r="G46" t="s">
        <v>226</v>
      </c>
      <c r="H46" t="s">
        <v>327</v>
      </c>
      <c r="I46" t="s">
        <v>345</v>
      </c>
      <c r="J46" t="s">
        <v>82</v>
      </c>
      <c r="K46" t="s">
        <v>112</v>
      </c>
      <c r="L46" t="s">
        <v>84</v>
      </c>
      <c r="M46" t="s">
        <v>113</v>
      </c>
      <c r="N46">
        <v>2</v>
      </c>
      <c r="O46" t="s">
        <v>86</v>
      </c>
    </row>
    <row r="47" spans="1:15" ht="16.05" customHeight="1">
      <c r="A47" t="s">
        <v>346</v>
      </c>
      <c r="B47" t="s">
        <v>347</v>
      </c>
      <c r="C47" t="s">
        <v>348</v>
      </c>
      <c r="D47" t="s">
        <v>349</v>
      </c>
      <c r="E47" t="s">
        <v>350</v>
      </c>
      <c r="F47" t="s">
        <v>30</v>
      </c>
      <c r="G47" t="s">
        <v>226</v>
      </c>
      <c r="H47" t="s">
        <v>327</v>
      </c>
      <c r="I47" t="s">
        <v>351</v>
      </c>
      <c r="J47" t="s">
        <v>82</v>
      </c>
      <c r="K47" t="s">
        <v>83</v>
      </c>
      <c r="L47" t="s">
        <v>84</v>
      </c>
      <c r="M47" t="s">
        <v>85</v>
      </c>
      <c r="N47">
        <v>2</v>
      </c>
      <c r="O47" t="s">
        <v>86</v>
      </c>
    </row>
    <row r="48" spans="1:15" ht="16.05" customHeight="1">
      <c r="A48" t="s">
        <v>352</v>
      </c>
      <c r="B48" t="s">
        <v>353</v>
      </c>
      <c r="C48" t="s">
        <v>354</v>
      </c>
      <c r="D48" t="s">
        <v>353</v>
      </c>
      <c r="E48" t="s">
        <v>355</v>
      </c>
      <c r="F48" t="s">
        <v>30</v>
      </c>
      <c r="G48" t="s">
        <v>289</v>
      </c>
      <c r="H48" t="s">
        <v>333</v>
      </c>
      <c r="I48" t="s">
        <v>356</v>
      </c>
      <c r="J48" t="s">
        <v>82</v>
      </c>
      <c r="K48" t="s">
        <v>83</v>
      </c>
      <c r="L48" t="s">
        <v>84</v>
      </c>
      <c r="M48" t="s">
        <v>85</v>
      </c>
      <c r="N48">
        <v>9</v>
      </c>
      <c r="O48" t="s">
        <v>357</v>
      </c>
    </row>
    <row r="49" spans="1:15" ht="16.05" customHeight="1">
      <c r="A49" t="s">
        <v>358</v>
      </c>
      <c r="B49" t="s">
        <v>359</v>
      </c>
      <c r="C49" t="s">
        <v>358</v>
      </c>
      <c r="D49" t="s">
        <v>360</v>
      </c>
      <c r="E49" t="s">
        <v>361</v>
      </c>
      <c r="F49" t="s">
        <v>30</v>
      </c>
      <c r="G49" t="s">
        <v>289</v>
      </c>
      <c r="H49" t="s">
        <v>305</v>
      </c>
      <c r="I49" t="s">
        <v>252</v>
      </c>
      <c r="J49" t="s">
        <v>82</v>
      </c>
      <c r="K49" t="s">
        <v>83</v>
      </c>
      <c r="L49" t="s">
        <v>84</v>
      </c>
      <c r="M49" t="s">
        <v>85</v>
      </c>
      <c r="N49">
        <v>3</v>
      </c>
      <c r="O49" t="s">
        <v>96</v>
      </c>
    </row>
    <row r="50" spans="1:15" ht="16.05" customHeight="1">
      <c r="A50" t="s">
        <v>362</v>
      </c>
      <c r="B50" t="s">
        <v>363</v>
      </c>
      <c r="C50" t="s">
        <v>364</v>
      </c>
      <c r="D50" t="s">
        <v>365</v>
      </c>
      <c r="E50" t="s">
        <v>366</v>
      </c>
      <c r="F50" t="s">
        <v>30</v>
      </c>
      <c r="G50" t="s">
        <v>226</v>
      </c>
      <c r="H50" t="s">
        <v>367</v>
      </c>
      <c r="I50" t="s">
        <v>368</v>
      </c>
      <c r="J50" t="s">
        <v>82</v>
      </c>
      <c r="K50" t="s">
        <v>83</v>
      </c>
      <c r="L50" t="s">
        <v>84</v>
      </c>
      <c r="M50" t="s">
        <v>85</v>
      </c>
      <c r="N50">
        <v>2</v>
      </c>
      <c r="O50" t="s">
        <v>86</v>
      </c>
    </row>
    <row r="51" spans="1:15" ht="16.05" customHeight="1">
      <c r="A51" t="s">
        <v>369</v>
      </c>
      <c r="B51" t="s">
        <v>370</v>
      </c>
      <c r="C51" t="s">
        <v>369</v>
      </c>
      <c r="D51" t="s">
        <v>371</v>
      </c>
      <c r="E51" t="s">
        <v>372</v>
      </c>
      <c r="F51" t="s">
        <v>30</v>
      </c>
      <c r="G51" t="s">
        <v>289</v>
      </c>
      <c r="H51" t="s">
        <v>373</v>
      </c>
      <c r="I51" t="s">
        <v>374</v>
      </c>
      <c r="J51" t="s">
        <v>82</v>
      </c>
      <c r="K51" t="s">
        <v>83</v>
      </c>
      <c r="L51" t="s">
        <v>84</v>
      </c>
      <c r="M51" t="s">
        <v>85</v>
      </c>
      <c r="N51">
        <v>2</v>
      </c>
      <c r="O51" t="s">
        <v>86</v>
      </c>
    </row>
    <row r="52" spans="1:15" ht="16.05" customHeight="1">
      <c r="A52" t="s">
        <v>375</v>
      </c>
      <c r="B52" t="s">
        <v>376</v>
      </c>
      <c r="C52" t="s">
        <v>377</v>
      </c>
      <c r="D52" t="s">
        <v>378</v>
      </c>
      <c r="E52" t="s">
        <v>379</v>
      </c>
      <c r="F52" t="s">
        <v>30</v>
      </c>
      <c r="G52" t="s">
        <v>289</v>
      </c>
      <c r="H52" t="s">
        <v>327</v>
      </c>
      <c r="I52" t="s">
        <v>380</v>
      </c>
      <c r="J52" t="s">
        <v>82</v>
      </c>
      <c r="K52" t="s">
        <v>83</v>
      </c>
      <c r="L52" t="s">
        <v>84</v>
      </c>
      <c r="M52" t="s">
        <v>85</v>
      </c>
      <c r="N52">
        <v>4</v>
      </c>
      <c r="O52" t="s">
        <v>381</v>
      </c>
    </row>
    <row r="53" spans="1:15" ht="16.05" customHeight="1">
      <c r="A53" t="s">
        <v>382</v>
      </c>
      <c r="B53" t="s">
        <v>383</v>
      </c>
      <c r="C53" t="s">
        <v>382</v>
      </c>
      <c r="D53" t="s">
        <v>384</v>
      </c>
      <c r="E53" t="s">
        <v>385</v>
      </c>
      <c r="F53" t="s">
        <v>30</v>
      </c>
      <c r="G53" t="s">
        <v>289</v>
      </c>
      <c r="H53" t="s">
        <v>386</v>
      </c>
      <c r="I53" t="s">
        <v>387</v>
      </c>
      <c r="J53" t="s">
        <v>82</v>
      </c>
      <c r="K53" t="s">
        <v>83</v>
      </c>
      <c r="L53" t="s">
        <v>84</v>
      </c>
      <c r="M53" t="s">
        <v>85</v>
      </c>
      <c r="N53">
        <v>4</v>
      </c>
      <c r="O53" t="s">
        <v>388</v>
      </c>
    </row>
    <row r="54" spans="1:15" ht="16.05" customHeight="1">
      <c r="A54" t="s">
        <v>389</v>
      </c>
      <c r="B54" t="s">
        <v>390</v>
      </c>
      <c r="C54" t="s">
        <v>389</v>
      </c>
      <c r="D54" t="s">
        <v>391</v>
      </c>
      <c r="E54" t="s">
        <v>392</v>
      </c>
      <c r="F54" t="s">
        <v>30</v>
      </c>
      <c r="G54" t="s">
        <v>226</v>
      </c>
      <c r="H54" t="s">
        <v>386</v>
      </c>
      <c r="I54" t="s">
        <v>393</v>
      </c>
      <c r="J54" t="s">
        <v>82</v>
      </c>
      <c r="K54" t="s">
        <v>83</v>
      </c>
      <c r="L54" t="s">
        <v>84</v>
      </c>
      <c r="M54" t="s">
        <v>85</v>
      </c>
      <c r="N54">
        <v>5</v>
      </c>
      <c r="O54" t="s">
        <v>394</v>
      </c>
    </row>
    <row r="55" spans="1:15" ht="16.05" customHeight="1">
      <c r="A55" t="s">
        <v>395</v>
      </c>
      <c r="B55" t="s">
        <v>396</v>
      </c>
      <c r="C55" t="s">
        <v>395</v>
      </c>
      <c r="D55" t="s">
        <v>397</v>
      </c>
      <c r="E55" t="s">
        <v>398</v>
      </c>
      <c r="F55" t="s">
        <v>30</v>
      </c>
      <c r="G55" t="s">
        <v>289</v>
      </c>
      <c r="H55" t="s">
        <v>327</v>
      </c>
      <c r="I55" t="s">
        <v>399</v>
      </c>
      <c r="J55" t="s">
        <v>82</v>
      </c>
      <c r="K55" t="s">
        <v>83</v>
      </c>
      <c r="L55" t="s">
        <v>84</v>
      </c>
      <c r="M55" t="s">
        <v>85</v>
      </c>
      <c r="N55">
        <v>3</v>
      </c>
      <c r="O55" t="s">
        <v>228</v>
      </c>
    </row>
    <row r="56" spans="1:15" ht="16.05" customHeight="1">
      <c r="A56" t="s">
        <v>400</v>
      </c>
      <c r="B56" t="s">
        <v>401</v>
      </c>
      <c r="C56" t="s">
        <v>400</v>
      </c>
      <c r="D56" t="s">
        <v>402</v>
      </c>
      <c r="E56" t="s">
        <v>403</v>
      </c>
      <c r="F56" t="s">
        <v>30</v>
      </c>
      <c r="G56" t="s">
        <v>289</v>
      </c>
      <c r="H56" t="s">
        <v>404</v>
      </c>
      <c r="I56" t="s">
        <v>405</v>
      </c>
      <c r="J56" t="s">
        <v>82</v>
      </c>
      <c r="K56" t="s">
        <v>83</v>
      </c>
      <c r="L56" t="s">
        <v>84</v>
      </c>
      <c r="M56" t="s">
        <v>85</v>
      </c>
      <c r="N56">
        <v>3</v>
      </c>
      <c r="O56" t="s">
        <v>96</v>
      </c>
    </row>
    <row r="57" spans="1:15" ht="16.05" customHeight="1">
      <c r="A57" t="s">
        <v>406</v>
      </c>
      <c r="B57" t="s">
        <v>407</v>
      </c>
      <c r="C57" t="s">
        <v>406</v>
      </c>
      <c r="D57" t="s">
        <v>408</v>
      </c>
      <c r="E57" t="s">
        <v>409</v>
      </c>
      <c r="F57" t="s">
        <v>30</v>
      </c>
      <c r="G57" t="s">
        <v>289</v>
      </c>
      <c r="H57" t="s">
        <v>386</v>
      </c>
      <c r="I57" t="s">
        <v>410</v>
      </c>
      <c r="J57" t="s">
        <v>82</v>
      </c>
      <c r="K57" t="s">
        <v>83</v>
      </c>
      <c r="L57" t="s">
        <v>84</v>
      </c>
      <c r="M57" t="s">
        <v>85</v>
      </c>
      <c r="N57">
        <v>3</v>
      </c>
      <c r="O57" t="s">
        <v>411</v>
      </c>
    </row>
    <row r="58" spans="1:15" ht="16.05" customHeight="1">
      <c r="A58" t="s">
        <v>412</v>
      </c>
      <c r="B58" t="s">
        <v>413</v>
      </c>
      <c r="C58" t="s">
        <v>414</v>
      </c>
      <c r="D58" t="s">
        <v>415</v>
      </c>
      <c r="E58" t="s">
        <v>416</v>
      </c>
      <c r="F58" t="s">
        <v>30</v>
      </c>
      <c r="G58" t="s">
        <v>226</v>
      </c>
      <c r="H58" t="s">
        <v>333</v>
      </c>
      <c r="I58" t="s">
        <v>417</v>
      </c>
      <c r="J58" t="s">
        <v>82</v>
      </c>
      <c r="K58" t="s">
        <v>83</v>
      </c>
      <c r="L58" t="s">
        <v>84</v>
      </c>
      <c r="M58" t="s">
        <v>85</v>
      </c>
      <c r="N58">
        <v>5</v>
      </c>
      <c r="O58" t="s">
        <v>418</v>
      </c>
    </row>
    <row r="59" spans="1:15" ht="16.05" customHeight="1">
      <c r="A59" t="s">
        <v>419</v>
      </c>
      <c r="B59" t="s">
        <v>420</v>
      </c>
      <c r="C59" t="s">
        <v>421</v>
      </c>
      <c r="D59" t="s">
        <v>420</v>
      </c>
      <c r="E59" t="s">
        <v>422</v>
      </c>
      <c r="F59" t="s">
        <v>30</v>
      </c>
      <c r="G59" t="s">
        <v>226</v>
      </c>
      <c r="H59" t="s">
        <v>373</v>
      </c>
      <c r="I59" t="s">
        <v>423</v>
      </c>
      <c r="J59" t="s">
        <v>82</v>
      </c>
      <c r="K59" t="s">
        <v>83</v>
      </c>
      <c r="L59" t="s">
        <v>84</v>
      </c>
      <c r="M59" t="s">
        <v>85</v>
      </c>
      <c r="N59">
        <v>4</v>
      </c>
      <c r="O59" t="s">
        <v>424</v>
      </c>
    </row>
    <row r="60" spans="1:15" ht="16.05" customHeight="1">
      <c r="A60" t="s">
        <v>425</v>
      </c>
      <c r="B60" t="s">
        <v>426</v>
      </c>
      <c r="C60" t="s">
        <v>425</v>
      </c>
      <c r="D60" t="s">
        <v>427</v>
      </c>
      <c r="E60" t="s">
        <v>428</v>
      </c>
      <c r="F60" t="s">
        <v>30</v>
      </c>
      <c r="G60" t="s">
        <v>289</v>
      </c>
      <c r="H60" t="s">
        <v>429</v>
      </c>
      <c r="I60" t="s">
        <v>430</v>
      </c>
      <c r="J60" t="s">
        <v>82</v>
      </c>
      <c r="K60" t="s">
        <v>83</v>
      </c>
      <c r="L60" t="s">
        <v>84</v>
      </c>
      <c r="M60" t="s">
        <v>85</v>
      </c>
      <c r="N60">
        <v>2</v>
      </c>
      <c r="O60" t="s">
        <v>86</v>
      </c>
    </row>
    <row r="61" spans="1:15" ht="16.05" customHeight="1">
      <c r="A61" t="s">
        <v>431</v>
      </c>
      <c r="B61" t="s">
        <v>432</v>
      </c>
      <c r="F61" t="s">
        <v>30</v>
      </c>
      <c r="J61" t="s">
        <v>279</v>
      </c>
      <c r="K61" t="s">
        <v>83</v>
      </c>
      <c r="L61" t="s">
        <v>84</v>
      </c>
      <c r="M61" t="s">
        <v>280</v>
      </c>
      <c r="N61">
        <v>2</v>
      </c>
      <c r="O61" t="s">
        <v>86</v>
      </c>
    </row>
    <row r="62" spans="1:15" ht="16.05" customHeight="1">
      <c r="A62" t="s">
        <v>433</v>
      </c>
      <c r="B62" t="s">
        <v>434</v>
      </c>
      <c r="C62" t="s">
        <v>435</v>
      </c>
      <c r="D62" t="s">
        <v>436</v>
      </c>
      <c r="E62" t="s">
        <v>437</v>
      </c>
      <c r="F62" t="s">
        <v>30</v>
      </c>
      <c r="G62" t="s">
        <v>289</v>
      </c>
      <c r="H62" t="s">
        <v>429</v>
      </c>
      <c r="I62" t="s">
        <v>438</v>
      </c>
      <c r="J62" t="s">
        <v>82</v>
      </c>
      <c r="K62" t="s">
        <v>83</v>
      </c>
      <c r="L62" t="s">
        <v>84</v>
      </c>
      <c r="M62" t="s">
        <v>85</v>
      </c>
      <c r="N62">
        <v>3</v>
      </c>
      <c r="O62" t="s">
        <v>96</v>
      </c>
    </row>
    <row r="63" spans="1:15" ht="16.05" customHeight="1">
      <c r="A63" t="s">
        <v>439</v>
      </c>
      <c r="B63" t="s">
        <v>440</v>
      </c>
      <c r="C63" t="s">
        <v>441</v>
      </c>
      <c r="D63" t="s">
        <v>442</v>
      </c>
      <c r="E63" t="s">
        <v>443</v>
      </c>
      <c r="F63" t="s">
        <v>30</v>
      </c>
      <c r="G63" t="s">
        <v>289</v>
      </c>
      <c r="H63" t="s">
        <v>444</v>
      </c>
      <c r="I63" t="s">
        <v>445</v>
      </c>
      <c r="J63" t="s">
        <v>82</v>
      </c>
      <c r="K63" t="s">
        <v>83</v>
      </c>
      <c r="L63" t="s">
        <v>84</v>
      </c>
      <c r="M63" t="s">
        <v>85</v>
      </c>
      <c r="N63">
        <v>4</v>
      </c>
      <c r="O63" t="s">
        <v>388</v>
      </c>
    </row>
    <row r="64" spans="1:15" ht="16.05" customHeight="1">
      <c r="A64" t="s">
        <v>446</v>
      </c>
      <c r="B64" t="s">
        <v>447</v>
      </c>
      <c r="C64" t="s">
        <v>448</v>
      </c>
      <c r="D64" t="s">
        <v>447</v>
      </c>
      <c r="E64" t="s">
        <v>449</v>
      </c>
      <c r="F64" t="s">
        <v>30</v>
      </c>
      <c r="G64" t="s">
        <v>226</v>
      </c>
      <c r="H64" t="s">
        <v>319</v>
      </c>
      <c r="I64" t="s">
        <v>450</v>
      </c>
      <c r="J64" t="s">
        <v>82</v>
      </c>
      <c r="K64" t="s">
        <v>83</v>
      </c>
      <c r="L64" t="s">
        <v>84</v>
      </c>
      <c r="M64" t="s">
        <v>85</v>
      </c>
      <c r="N64">
        <v>4</v>
      </c>
      <c r="O64" t="s">
        <v>451</v>
      </c>
    </row>
    <row r="65" spans="1:15" ht="16.05" customHeight="1">
      <c r="A65" t="s">
        <v>452</v>
      </c>
      <c r="B65" t="s">
        <v>453</v>
      </c>
      <c r="C65" t="s">
        <v>452</v>
      </c>
      <c r="D65" t="s">
        <v>454</v>
      </c>
      <c r="E65" t="s">
        <v>455</v>
      </c>
      <c r="F65" t="s">
        <v>30</v>
      </c>
      <c r="G65" t="s">
        <v>226</v>
      </c>
      <c r="H65" t="s">
        <v>373</v>
      </c>
      <c r="I65" t="s">
        <v>456</v>
      </c>
      <c r="J65" t="s">
        <v>82</v>
      </c>
      <c r="K65" t="s">
        <v>83</v>
      </c>
      <c r="L65" t="s">
        <v>84</v>
      </c>
      <c r="M65" t="s">
        <v>85</v>
      </c>
      <c r="N65">
        <v>2</v>
      </c>
      <c r="O65" t="s">
        <v>86</v>
      </c>
    </row>
    <row r="66" spans="1:15" ht="16.05" customHeight="1">
      <c r="A66" t="s">
        <v>457</v>
      </c>
      <c r="B66" t="s">
        <v>458</v>
      </c>
      <c r="C66" t="s">
        <v>457</v>
      </c>
      <c r="D66" t="s">
        <v>459</v>
      </c>
      <c r="E66" t="s">
        <v>460</v>
      </c>
      <c r="F66" t="s">
        <v>30</v>
      </c>
      <c r="G66" t="s">
        <v>289</v>
      </c>
      <c r="H66" t="s">
        <v>373</v>
      </c>
      <c r="I66" t="s">
        <v>461</v>
      </c>
      <c r="J66" t="s">
        <v>82</v>
      </c>
      <c r="K66" t="s">
        <v>83</v>
      </c>
      <c r="L66" t="s">
        <v>84</v>
      </c>
      <c r="M66" t="s">
        <v>85</v>
      </c>
      <c r="N66">
        <v>2</v>
      </c>
      <c r="O66" t="s">
        <v>86</v>
      </c>
    </row>
    <row r="67" spans="1:15" ht="16.05" customHeight="1">
      <c r="A67" t="s">
        <v>462</v>
      </c>
      <c r="B67" t="s">
        <v>463</v>
      </c>
      <c r="C67" t="s">
        <v>462</v>
      </c>
      <c r="D67" t="s">
        <v>464</v>
      </c>
      <c r="E67" t="s">
        <v>465</v>
      </c>
      <c r="F67" t="s">
        <v>30</v>
      </c>
      <c r="G67" t="s">
        <v>289</v>
      </c>
      <c r="H67" t="s">
        <v>466</v>
      </c>
      <c r="I67" t="s">
        <v>467</v>
      </c>
      <c r="J67" t="s">
        <v>82</v>
      </c>
      <c r="K67" t="s">
        <v>83</v>
      </c>
      <c r="L67" t="s">
        <v>84</v>
      </c>
      <c r="M67" t="s">
        <v>85</v>
      </c>
      <c r="N67">
        <v>2</v>
      </c>
      <c r="O67" t="s">
        <v>86</v>
      </c>
    </row>
    <row r="68" spans="1:15" ht="16.05" customHeight="1">
      <c r="A68" t="s">
        <v>468</v>
      </c>
      <c r="B68" t="s">
        <v>469</v>
      </c>
      <c r="C68" t="s">
        <v>470</v>
      </c>
      <c r="D68" t="s">
        <v>471</v>
      </c>
      <c r="E68" t="s">
        <v>472</v>
      </c>
      <c r="F68" t="s">
        <v>30</v>
      </c>
      <c r="G68" t="s">
        <v>289</v>
      </c>
      <c r="I68" t="s">
        <v>473</v>
      </c>
      <c r="J68" t="s">
        <v>82</v>
      </c>
      <c r="K68" t="s">
        <v>83</v>
      </c>
      <c r="L68" t="s">
        <v>84</v>
      </c>
      <c r="M68" t="s">
        <v>85</v>
      </c>
      <c r="N68">
        <v>2</v>
      </c>
      <c r="O68" t="s">
        <v>86</v>
      </c>
    </row>
    <row r="69" spans="1:15" ht="16.05" customHeight="1">
      <c r="A69" t="s">
        <v>474</v>
      </c>
      <c r="B69" t="s">
        <v>475</v>
      </c>
      <c r="C69" t="s">
        <v>474</v>
      </c>
      <c r="D69" t="s">
        <v>476</v>
      </c>
      <c r="E69" t="s">
        <v>477</v>
      </c>
      <c r="F69" t="s">
        <v>30</v>
      </c>
      <c r="G69" t="s">
        <v>289</v>
      </c>
      <c r="I69" t="s">
        <v>478</v>
      </c>
      <c r="J69" t="s">
        <v>82</v>
      </c>
      <c r="K69" t="s">
        <v>83</v>
      </c>
      <c r="L69" t="s">
        <v>84</v>
      </c>
      <c r="M69" t="s">
        <v>85</v>
      </c>
      <c r="N69">
        <v>3</v>
      </c>
      <c r="O69" t="s">
        <v>96</v>
      </c>
    </row>
    <row r="70" spans="1:15" ht="16.05" customHeight="1">
      <c r="A70" t="s">
        <v>479</v>
      </c>
      <c r="B70" t="s">
        <v>480</v>
      </c>
      <c r="C70" t="s">
        <v>481</v>
      </c>
      <c r="D70" t="s">
        <v>482</v>
      </c>
      <c r="E70" t="s">
        <v>483</v>
      </c>
      <c r="F70" t="s">
        <v>30</v>
      </c>
      <c r="G70" t="s">
        <v>289</v>
      </c>
      <c r="H70" t="s">
        <v>386</v>
      </c>
      <c r="I70" t="s">
        <v>484</v>
      </c>
      <c r="J70" t="s">
        <v>82</v>
      </c>
      <c r="K70" t="s">
        <v>83</v>
      </c>
      <c r="L70" t="s">
        <v>84</v>
      </c>
      <c r="M70" t="s">
        <v>85</v>
      </c>
      <c r="N70">
        <v>2</v>
      </c>
      <c r="O70" t="s">
        <v>86</v>
      </c>
    </row>
    <row r="71" spans="1:15" ht="16.05" customHeight="1">
      <c r="A71" t="s">
        <v>485</v>
      </c>
      <c r="B71" t="s">
        <v>486</v>
      </c>
      <c r="C71" t="s">
        <v>487</v>
      </c>
      <c r="D71" t="s">
        <v>486</v>
      </c>
      <c r="E71" t="s">
        <v>488</v>
      </c>
      <c r="F71" t="s">
        <v>30</v>
      </c>
      <c r="G71" t="s">
        <v>226</v>
      </c>
      <c r="H71" t="s">
        <v>333</v>
      </c>
      <c r="I71" t="s">
        <v>489</v>
      </c>
      <c r="J71" t="s">
        <v>82</v>
      </c>
      <c r="K71" t="s">
        <v>83</v>
      </c>
      <c r="L71" t="s">
        <v>84</v>
      </c>
      <c r="M71" t="s">
        <v>85</v>
      </c>
      <c r="N71">
        <v>3</v>
      </c>
      <c r="O71" t="s">
        <v>276</v>
      </c>
    </row>
    <row r="72" spans="1:15" ht="16.05" customHeight="1">
      <c r="A72" t="s">
        <v>490</v>
      </c>
      <c r="B72" t="s">
        <v>491</v>
      </c>
      <c r="C72" t="s">
        <v>492</v>
      </c>
      <c r="D72" t="s">
        <v>491</v>
      </c>
      <c r="E72" t="s">
        <v>493</v>
      </c>
      <c r="F72" t="s">
        <v>30</v>
      </c>
      <c r="G72" t="s">
        <v>226</v>
      </c>
      <c r="H72" t="s">
        <v>327</v>
      </c>
      <c r="I72" t="s">
        <v>494</v>
      </c>
      <c r="J72" t="s">
        <v>82</v>
      </c>
      <c r="K72" t="s">
        <v>83</v>
      </c>
      <c r="L72" t="s">
        <v>84</v>
      </c>
      <c r="M72" t="s">
        <v>85</v>
      </c>
      <c r="N72">
        <v>4</v>
      </c>
      <c r="O72" t="s">
        <v>307</v>
      </c>
    </row>
    <row r="73" spans="1:15" ht="16.05" customHeight="1">
      <c r="A73" t="s">
        <v>495</v>
      </c>
      <c r="B73" t="s">
        <v>496</v>
      </c>
      <c r="C73" t="s">
        <v>497</v>
      </c>
      <c r="D73" t="s">
        <v>498</v>
      </c>
      <c r="E73" t="s">
        <v>499</v>
      </c>
      <c r="F73" t="s">
        <v>30</v>
      </c>
      <c r="G73" t="s">
        <v>289</v>
      </c>
      <c r="H73" t="s">
        <v>319</v>
      </c>
      <c r="I73" t="s">
        <v>500</v>
      </c>
      <c r="J73" t="s">
        <v>82</v>
      </c>
      <c r="K73" t="s">
        <v>83</v>
      </c>
      <c r="L73" t="s">
        <v>84</v>
      </c>
      <c r="M73" t="s">
        <v>85</v>
      </c>
      <c r="N73">
        <v>4</v>
      </c>
      <c r="O73" t="s">
        <v>501</v>
      </c>
    </row>
    <row r="74" spans="1:15" ht="16.05" customHeight="1">
      <c r="A74" t="s">
        <v>502</v>
      </c>
      <c r="B74" t="s">
        <v>503</v>
      </c>
      <c r="C74" t="s">
        <v>504</v>
      </c>
      <c r="D74" t="s">
        <v>505</v>
      </c>
      <c r="E74" t="s">
        <v>506</v>
      </c>
      <c r="F74" t="s">
        <v>30</v>
      </c>
      <c r="G74" t="s">
        <v>289</v>
      </c>
      <c r="H74" t="s">
        <v>507</v>
      </c>
      <c r="I74" t="s">
        <v>508</v>
      </c>
      <c r="J74" t="s">
        <v>82</v>
      </c>
      <c r="K74" t="s">
        <v>83</v>
      </c>
      <c r="L74" t="s">
        <v>84</v>
      </c>
      <c r="M74" t="s">
        <v>85</v>
      </c>
      <c r="N74">
        <v>2</v>
      </c>
      <c r="O74" t="s">
        <v>86</v>
      </c>
    </row>
    <row r="75" spans="1:15" ht="16.05" customHeight="1">
      <c r="A75" t="s">
        <v>509</v>
      </c>
      <c r="B75" t="s">
        <v>510</v>
      </c>
      <c r="C75" t="s">
        <v>511</v>
      </c>
      <c r="D75" t="s">
        <v>512</v>
      </c>
      <c r="E75" t="s">
        <v>513</v>
      </c>
      <c r="F75" t="s">
        <v>30</v>
      </c>
      <c r="G75" t="s">
        <v>289</v>
      </c>
      <c r="I75" t="s">
        <v>514</v>
      </c>
      <c r="J75" t="s">
        <v>82</v>
      </c>
      <c r="K75" t="s">
        <v>83</v>
      </c>
      <c r="L75" t="s">
        <v>84</v>
      </c>
      <c r="M75" t="s">
        <v>85</v>
      </c>
      <c r="N75">
        <v>2</v>
      </c>
      <c r="O75" t="s">
        <v>86</v>
      </c>
    </row>
    <row r="76" spans="1:15" ht="16.05" customHeight="1">
      <c r="A76" t="s">
        <v>515</v>
      </c>
      <c r="B76" t="s">
        <v>516</v>
      </c>
      <c r="C76" t="s">
        <v>515</v>
      </c>
      <c r="D76" t="s">
        <v>517</v>
      </c>
      <c r="E76" t="s">
        <v>518</v>
      </c>
      <c r="F76" t="s">
        <v>30</v>
      </c>
      <c r="G76" t="s">
        <v>226</v>
      </c>
      <c r="H76" t="s">
        <v>367</v>
      </c>
      <c r="I76" t="s">
        <v>519</v>
      </c>
      <c r="J76" t="s">
        <v>82</v>
      </c>
      <c r="K76" t="s">
        <v>83</v>
      </c>
      <c r="L76" t="s">
        <v>84</v>
      </c>
      <c r="M76" t="s">
        <v>85</v>
      </c>
      <c r="N76">
        <v>3</v>
      </c>
      <c r="O76" t="s">
        <v>96</v>
      </c>
    </row>
    <row r="77" spans="1:15" ht="16.05" customHeight="1">
      <c r="A77" t="s">
        <v>520</v>
      </c>
      <c r="B77" t="s">
        <v>521</v>
      </c>
      <c r="C77" t="s">
        <v>520</v>
      </c>
      <c r="D77" t="s">
        <v>521</v>
      </c>
      <c r="E77" t="s">
        <v>522</v>
      </c>
      <c r="F77" t="s">
        <v>30</v>
      </c>
      <c r="G77" t="s">
        <v>289</v>
      </c>
      <c r="H77" t="s">
        <v>333</v>
      </c>
      <c r="I77" t="s">
        <v>523</v>
      </c>
      <c r="J77" t="s">
        <v>82</v>
      </c>
      <c r="K77" t="s">
        <v>83</v>
      </c>
      <c r="L77" t="s">
        <v>84</v>
      </c>
      <c r="M77" t="s">
        <v>85</v>
      </c>
      <c r="N77">
        <v>9</v>
      </c>
      <c r="O77" t="s">
        <v>524</v>
      </c>
    </row>
    <row r="78" spans="1:15" ht="16.05" customHeight="1">
      <c r="A78" t="s">
        <v>525</v>
      </c>
      <c r="B78" t="s">
        <v>526</v>
      </c>
      <c r="C78" t="s">
        <v>525</v>
      </c>
      <c r="D78" t="s">
        <v>527</v>
      </c>
      <c r="E78" t="s">
        <v>528</v>
      </c>
      <c r="F78" t="s">
        <v>30</v>
      </c>
      <c r="G78" t="s">
        <v>289</v>
      </c>
      <c r="H78" t="s">
        <v>404</v>
      </c>
      <c r="I78" t="s">
        <v>529</v>
      </c>
      <c r="J78" t="s">
        <v>82</v>
      </c>
      <c r="K78" t="s">
        <v>83</v>
      </c>
      <c r="L78" t="s">
        <v>84</v>
      </c>
      <c r="M78" t="s">
        <v>85</v>
      </c>
      <c r="N78">
        <v>3</v>
      </c>
      <c r="O78" t="s">
        <v>96</v>
      </c>
    </row>
    <row r="79" spans="1:15" ht="16.05" customHeight="1">
      <c r="A79" t="s">
        <v>530</v>
      </c>
      <c r="B79" t="s">
        <v>531</v>
      </c>
      <c r="C79" t="s">
        <v>532</v>
      </c>
      <c r="D79" t="s">
        <v>533</v>
      </c>
      <c r="E79" t="s">
        <v>534</v>
      </c>
      <c r="F79" t="s">
        <v>30</v>
      </c>
      <c r="G79" t="s">
        <v>226</v>
      </c>
      <c r="H79" t="s">
        <v>535</v>
      </c>
      <c r="I79" t="s">
        <v>536</v>
      </c>
      <c r="J79" t="s">
        <v>82</v>
      </c>
      <c r="K79" t="s">
        <v>83</v>
      </c>
      <c r="L79" t="s">
        <v>84</v>
      </c>
      <c r="M79" t="s">
        <v>85</v>
      </c>
      <c r="N79">
        <v>2</v>
      </c>
      <c r="O79" t="s">
        <v>86</v>
      </c>
    </row>
    <row r="80" spans="1:15" ht="16.05" customHeight="1">
      <c r="A80" t="s">
        <v>537</v>
      </c>
      <c r="B80" t="s">
        <v>538</v>
      </c>
      <c r="C80" t="s">
        <v>539</v>
      </c>
      <c r="D80" t="s">
        <v>540</v>
      </c>
      <c r="E80" t="s">
        <v>541</v>
      </c>
      <c r="F80" t="s">
        <v>30</v>
      </c>
      <c r="G80" t="s">
        <v>226</v>
      </c>
      <c r="H80" t="s">
        <v>333</v>
      </c>
      <c r="J80" t="s">
        <v>82</v>
      </c>
      <c r="K80" t="s">
        <v>83</v>
      </c>
      <c r="L80" t="s">
        <v>84</v>
      </c>
      <c r="M80" t="s">
        <v>85</v>
      </c>
      <c r="N80">
        <v>4</v>
      </c>
      <c r="O80" t="s">
        <v>542</v>
      </c>
    </row>
    <row r="81" spans="1:15" ht="16.05" customHeight="1">
      <c r="A81" t="s">
        <v>543</v>
      </c>
      <c r="B81" t="s">
        <v>544</v>
      </c>
      <c r="C81" t="s">
        <v>539</v>
      </c>
      <c r="D81" t="s">
        <v>540</v>
      </c>
      <c r="E81" t="s">
        <v>541</v>
      </c>
      <c r="F81" t="s">
        <v>30</v>
      </c>
      <c r="G81" t="s">
        <v>226</v>
      </c>
      <c r="H81" t="s">
        <v>333</v>
      </c>
      <c r="J81" t="s">
        <v>82</v>
      </c>
      <c r="K81" t="s">
        <v>112</v>
      </c>
      <c r="L81" t="s">
        <v>84</v>
      </c>
      <c r="M81" t="s">
        <v>126</v>
      </c>
      <c r="N81">
        <v>1</v>
      </c>
      <c r="O81" t="s">
        <v>41</v>
      </c>
    </row>
    <row r="82" spans="1:15" ht="16.05" customHeight="1">
      <c r="A82" t="s">
        <v>545</v>
      </c>
      <c r="B82" t="s">
        <v>546</v>
      </c>
      <c r="C82" t="s">
        <v>547</v>
      </c>
      <c r="D82" t="s">
        <v>548</v>
      </c>
      <c r="E82" t="s">
        <v>549</v>
      </c>
      <c r="F82" t="s">
        <v>30</v>
      </c>
      <c r="G82" t="s">
        <v>289</v>
      </c>
      <c r="H82" t="s">
        <v>550</v>
      </c>
      <c r="I82" t="s">
        <v>551</v>
      </c>
      <c r="J82" t="s">
        <v>82</v>
      </c>
      <c r="K82" t="s">
        <v>83</v>
      </c>
      <c r="L82" t="s">
        <v>84</v>
      </c>
      <c r="M82" t="s">
        <v>85</v>
      </c>
      <c r="N82">
        <v>2</v>
      </c>
      <c r="O82" t="s">
        <v>86</v>
      </c>
    </row>
    <row r="83" spans="1:15" ht="16.05" customHeight="1">
      <c r="A83" t="s">
        <v>552</v>
      </c>
      <c r="B83" t="s">
        <v>553</v>
      </c>
      <c r="C83" t="s">
        <v>554</v>
      </c>
      <c r="D83" t="s">
        <v>555</v>
      </c>
      <c r="E83" t="s">
        <v>556</v>
      </c>
      <c r="F83" t="s">
        <v>30</v>
      </c>
      <c r="G83" t="s">
        <v>289</v>
      </c>
      <c r="H83" t="s">
        <v>557</v>
      </c>
      <c r="I83" t="s">
        <v>558</v>
      </c>
      <c r="J83" t="s">
        <v>82</v>
      </c>
      <c r="K83" t="s">
        <v>83</v>
      </c>
      <c r="L83" t="s">
        <v>84</v>
      </c>
      <c r="M83" t="s">
        <v>85</v>
      </c>
      <c r="N83">
        <v>2</v>
      </c>
      <c r="O83" t="s">
        <v>86</v>
      </c>
    </row>
    <row r="84" spans="1:15" ht="16.05" customHeight="1">
      <c r="A84" t="s">
        <v>559</v>
      </c>
      <c r="B84" t="s">
        <v>560</v>
      </c>
      <c r="C84" t="s">
        <v>559</v>
      </c>
      <c r="D84" t="s">
        <v>561</v>
      </c>
      <c r="E84" t="s">
        <v>562</v>
      </c>
      <c r="F84" t="s">
        <v>30</v>
      </c>
      <c r="G84" t="s">
        <v>289</v>
      </c>
      <c r="H84" t="s">
        <v>333</v>
      </c>
      <c r="I84" t="s">
        <v>563</v>
      </c>
      <c r="J84" t="s">
        <v>82</v>
      </c>
      <c r="K84" t="s">
        <v>83</v>
      </c>
      <c r="L84" t="s">
        <v>84</v>
      </c>
      <c r="M84" t="s">
        <v>85</v>
      </c>
      <c r="N84">
        <v>4</v>
      </c>
      <c r="O84" t="s">
        <v>564</v>
      </c>
    </row>
    <row r="85" spans="1:15" ht="16.05" customHeight="1">
      <c r="A85" t="s">
        <v>565</v>
      </c>
      <c r="B85" t="s">
        <v>566</v>
      </c>
      <c r="C85" t="s">
        <v>565</v>
      </c>
      <c r="D85" t="s">
        <v>567</v>
      </c>
      <c r="E85" t="s">
        <v>568</v>
      </c>
      <c r="F85" t="s">
        <v>30</v>
      </c>
      <c r="G85" t="s">
        <v>289</v>
      </c>
      <c r="H85" t="s">
        <v>386</v>
      </c>
      <c r="I85" t="s">
        <v>569</v>
      </c>
      <c r="J85" t="s">
        <v>82</v>
      </c>
      <c r="K85" t="s">
        <v>83</v>
      </c>
      <c r="L85" t="s">
        <v>84</v>
      </c>
      <c r="M85" t="s">
        <v>85</v>
      </c>
      <c r="N85">
        <v>3</v>
      </c>
      <c r="O85" t="s">
        <v>321</v>
      </c>
    </row>
    <row r="86" spans="1:15" ht="16.05" customHeight="1">
      <c r="A86" t="s">
        <v>570</v>
      </c>
      <c r="B86" t="s">
        <v>571</v>
      </c>
      <c r="C86" t="s">
        <v>572</v>
      </c>
      <c r="D86" t="s">
        <v>573</v>
      </c>
      <c r="E86" t="s">
        <v>574</v>
      </c>
      <c r="F86" t="s">
        <v>30</v>
      </c>
      <c r="G86" t="s">
        <v>289</v>
      </c>
      <c r="H86" t="s">
        <v>333</v>
      </c>
      <c r="I86" t="s">
        <v>575</v>
      </c>
      <c r="J86" t="s">
        <v>82</v>
      </c>
      <c r="K86" t="s">
        <v>83</v>
      </c>
      <c r="L86" t="s">
        <v>84</v>
      </c>
      <c r="M86" t="s">
        <v>85</v>
      </c>
      <c r="N86">
        <v>2</v>
      </c>
      <c r="O86" t="s">
        <v>253</v>
      </c>
    </row>
    <row r="87" spans="1:15" ht="16.05" customHeight="1">
      <c r="A87" t="s">
        <v>576</v>
      </c>
      <c r="B87" t="s">
        <v>577</v>
      </c>
      <c r="C87" t="s">
        <v>578</v>
      </c>
      <c r="D87" t="s">
        <v>579</v>
      </c>
      <c r="E87" t="s">
        <v>580</v>
      </c>
      <c r="F87" t="s">
        <v>30</v>
      </c>
      <c r="G87" t="s">
        <v>289</v>
      </c>
      <c r="H87" t="s">
        <v>404</v>
      </c>
      <c r="I87" t="s">
        <v>581</v>
      </c>
      <c r="J87" t="s">
        <v>82</v>
      </c>
      <c r="K87" t="s">
        <v>83</v>
      </c>
      <c r="L87" t="s">
        <v>84</v>
      </c>
      <c r="M87" t="s">
        <v>85</v>
      </c>
      <c r="N87">
        <v>2</v>
      </c>
      <c r="O87" t="s">
        <v>86</v>
      </c>
    </row>
    <row r="88" spans="1:15" ht="16.05" customHeight="1">
      <c r="A88" t="s">
        <v>582</v>
      </c>
      <c r="B88" t="s">
        <v>583</v>
      </c>
      <c r="F88" t="s">
        <v>30</v>
      </c>
      <c r="J88" t="s">
        <v>279</v>
      </c>
      <c r="K88" t="s">
        <v>83</v>
      </c>
      <c r="L88" t="s">
        <v>84</v>
      </c>
      <c r="M88" t="s">
        <v>280</v>
      </c>
      <c r="N88">
        <v>2</v>
      </c>
      <c r="O88" t="s">
        <v>584</v>
      </c>
    </row>
    <row r="89" spans="1:15" ht="16.05" customHeight="1">
      <c r="A89" t="s">
        <v>585</v>
      </c>
      <c r="B89" t="s">
        <v>586</v>
      </c>
      <c r="C89" t="s">
        <v>587</v>
      </c>
      <c r="D89" t="s">
        <v>588</v>
      </c>
      <c r="E89" t="s">
        <v>589</v>
      </c>
      <c r="F89" t="s">
        <v>30</v>
      </c>
      <c r="G89" t="s">
        <v>289</v>
      </c>
      <c r="H89" t="s">
        <v>590</v>
      </c>
      <c r="I89" t="s">
        <v>591</v>
      </c>
      <c r="J89" t="s">
        <v>82</v>
      </c>
      <c r="K89" t="s">
        <v>83</v>
      </c>
      <c r="L89" t="s">
        <v>84</v>
      </c>
      <c r="M89" t="s">
        <v>85</v>
      </c>
      <c r="N89">
        <v>3</v>
      </c>
      <c r="O89" t="s">
        <v>161</v>
      </c>
    </row>
    <row r="90" spans="1:15" ht="16.05" customHeight="1">
      <c r="A90" t="s">
        <v>592</v>
      </c>
      <c r="B90" t="s">
        <v>593</v>
      </c>
      <c r="C90" t="s">
        <v>592</v>
      </c>
      <c r="D90" t="s">
        <v>594</v>
      </c>
      <c r="E90" t="s">
        <v>595</v>
      </c>
      <c r="F90" t="s">
        <v>30</v>
      </c>
      <c r="G90" t="s">
        <v>289</v>
      </c>
      <c r="H90" t="s">
        <v>333</v>
      </c>
      <c r="I90" t="s">
        <v>596</v>
      </c>
      <c r="J90" t="s">
        <v>82</v>
      </c>
      <c r="K90" t="s">
        <v>83</v>
      </c>
      <c r="L90" t="s">
        <v>84</v>
      </c>
      <c r="M90" t="s">
        <v>85</v>
      </c>
      <c r="N90">
        <v>5</v>
      </c>
      <c r="O90" t="s">
        <v>597</v>
      </c>
    </row>
    <row r="91" spans="1:15" ht="16.05" customHeight="1">
      <c r="A91" t="s">
        <v>598</v>
      </c>
      <c r="B91" t="s">
        <v>599</v>
      </c>
      <c r="C91" t="s">
        <v>600</v>
      </c>
      <c r="D91" t="s">
        <v>601</v>
      </c>
      <c r="E91" t="s">
        <v>602</v>
      </c>
      <c r="F91" t="s">
        <v>30</v>
      </c>
      <c r="G91" t="s">
        <v>289</v>
      </c>
      <c r="H91" t="s">
        <v>297</v>
      </c>
      <c r="I91" t="s">
        <v>603</v>
      </c>
      <c r="J91" t="s">
        <v>82</v>
      </c>
      <c r="K91" t="s">
        <v>83</v>
      </c>
      <c r="L91" t="s">
        <v>84</v>
      </c>
      <c r="M91" t="s">
        <v>85</v>
      </c>
      <c r="N91">
        <v>2</v>
      </c>
      <c r="O91" t="s">
        <v>86</v>
      </c>
    </row>
    <row r="92" spans="1:15" ht="16.05" customHeight="1">
      <c r="A92" t="s">
        <v>604</v>
      </c>
      <c r="B92" t="s">
        <v>605</v>
      </c>
      <c r="C92" t="s">
        <v>606</v>
      </c>
      <c r="D92" t="s">
        <v>607</v>
      </c>
      <c r="E92" t="s">
        <v>608</v>
      </c>
      <c r="F92" t="s">
        <v>30</v>
      </c>
      <c r="G92" t="s">
        <v>226</v>
      </c>
      <c r="H92" t="s">
        <v>327</v>
      </c>
      <c r="I92" t="s">
        <v>609</v>
      </c>
      <c r="J92" t="s">
        <v>82</v>
      </c>
      <c r="K92" t="s">
        <v>83</v>
      </c>
      <c r="L92" t="s">
        <v>84</v>
      </c>
      <c r="M92" t="s">
        <v>85</v>
      </c>
      <c r="N92">
        <v>2</v>
      </c>
      <c r="O92" t="s">
        <v>86</v>
      </c>
    </row>
    <row r="93" spans="1:15" ht="16.05" customHeight="1">
      <c r="A93" t="s">
        <v>610</v>
      </c>
      <c r="B93" t="s">
        <v>611</v>
      </c>
      <c r="C93" t="s">
        <v>612</v>
      </c>
      <c r="D93" t="s">
        <v>613</v>
      </c>
      <c r="E93" t="s">
        <v>614</v>
      </c>
      <c r="F93" t="s">
        <v>30</v>
      </c>
      <c r="G93" t="s">
        <v>289</v>
      </c>
      <c r="H93" t="s">
        <v>305</v>
      </c>
      <c r="I93" t="s">
        <v>615</v>
      </c>
      <c r="J93" t="s">
        <v>82</v>
      </c>
      <c r="K93" t="s">
        <v>83</v>
      </c>
      <c r="L93" t="s">
        <v>84</v>
      </c>
      <c r="M93" t="s">
        <v>85</v>
      </c>
      <c r="N93">
        <v>3</v>
      </c>
      <c r="O93" t="s">
        <v>96</v>
      </c>
    </row>
    <row r="94" spans="1:15" ht="16.05" customHeight="1">
      <c r="A94" t="s">
        <v>616</v>
      </c>
      <c r="B94" t="s">
        <v>617</v>
      </c>
      <c r="C94" t="s">
        <v>618</v>
      </c>
      <c r="D94" t="s">
        <v>617</v>
      </c>
      <c r="E94" t="s">
        <v>619</v>
      </c>
      <c r="F94" t="s">
        <v>30</v>
      </c>
      <c r="G94" t="s">
        <v>226</v>
      </c>
      <c r="H94" t="s">
        <v>319</v>
      </c>
      <c r="I94" t="s">
        <v>620</v>
      </c>
      <c r="J94" t="s">
        <v>82</v>
      </c>
      <c r="K94" t="s">
        <v>83</v>
      </c>
      <c r="L94" t="s">
        <v>84</v>
      </c>
      <c r="M94" t="s">
        <v>85</v>
      </c>
      <c r="N94">
        <v>3</v>
      </c>
      <c r="O94" t="s">
        <v>321</v>
      </c>
    </row>
    <row r="95" spans="1:15" ht="16.05" customHeight="1">
      <c r="A95" t="s">
        <v>621</v>
      </c>
      <c r="B95" t="s">
        <v>622</v>
      </c>
      <c r="C95" t="s">
        <v>621</v>
      </c>
      <c r="D95" t="s">
        <v>623</v>
      </c>
      <c r="E95" t="s">
        <v>624</v>
      </c>
      <c r="F95" t="s">
        <v>30</v>
      </c>
      <c r="G95" t="s">
        <v>289</v>
      </c>
      <c r="H95" t="s">
        <v>333</v>
      </c>
      <c r="I95" t="s">
        <v>625</v>
      </c>
      <c r="J95" t="s">
        <v>82</v>
      </c>
      <c r="K95" t="s">
        <v>83</v>
      </c>
      <c r="L95" t="s">
        <v>84</v>
      </c>
      <c r="M95" t="s">
        <v>85</v>
      </c>
      <c r="N95">
        <v>7</v>
      </c>
      <c r="O95" t="s">
        <v>626</v>
      </c>
    </row>
    <row r="96" spans="1:15" ht="16.05" customHeight="1">
      <c r="A96" t="s">
        <v>627</v>
      </c>
      <c r="B96" t="s">
        <v>628</v>
      </c>
      <c r="F96" t="s">
        <v>30</v>
      </c>
      <c r="J96" t="s">
        <v>279</v>
      </c>
      <c r="K96" t="s">
        <v>83</v>
      </c>
      <c r="L96" t="s">
        <v>84</v>
      </c>
      <c r="M96" t="s">
        <v>280</v>
      </c>
      <c r="N96">
        <v>2</v>
      </c>
      <c r="O96" t="s">
        <v>86</v>
      </c>
    </row>
    <row r="97" spans="1:15" ht="16.05" customHeight="1">
      <c r="A97" t="s">
        <v>629</v>
      </c>
      <c r="B97" t="s">
        <v>630</v>
      </c>
      <c r="C97" t="s">
        <v>631</v>
      </c>
      <c r="D97" t="s">
        <v>632</v>
      </c>
      <c r="E97" t="s">
        <v>633</v>
      </c>
      <c r="F97" t="s">
        <v>30</v>
      </c>
      <c r="G97" t="s">
        <v>226</v>
      </c>
      <c r="H97" t="s">
        <v>535</v>
      </c>
      <c r="I97" t="s">
        <v>634</v>
      </c>
      <c r="J97" t="s">
        <v>82</v>
      </c>
      <c r="K97" t="s">
        <v>83</v>
      </c>
      <c r="L97" t="s">
        <v>84</v>
      </c>
      <c r="M97" t="s">
        <v>85</v>
      </c>
      <c r="N97">
        <v>2</v>
      </c>
      <c r="O97" t="s">
        <v>86</v>
      </c>
    </row>
    <row r="98" spans="1:15" ht="16.05" customHeight="1">
      <c r="A98" t="s">
        <v>635</v>
      </c>
      <c r="B98" t="s">
        <v>636</v>
      </c>
      <c r="C98" t="s">
        <v>637</v>
      </c>
      <c r="D98" t="s">
        <v>638</v>
      </c>
      <c r="E98" t="s">
        <v>639</v>
      </c>
      <c r="F98" t="s">
        <v>30</v>
      </c>
      <c r="G98" t="s">
        <v>226</v>
      </c>
      <c r="H98" t="s">
        <v>327</v>
      </c>
      <c r="I98" t="s">
        <v>640</v>
      </c>
      <c r="J98" t="s">
        <v>82</v>
      </c>
      <c r="K98" t="s">
        <v>83</v>
      </c>
      <c r="L98" t="s">
        <v>84</v>
      </c>
      <c r="M98" t="s">
        <v>85</v>
      </c>
      <c r="N98">
        <v>2</v>
      </c>
      <c r="O98" t="s">
        <v>86</v>
      </c>
    </row>
    <row r="99" spans="1:15" ht="16.05" customHeight="1">
      <c r="A99" t="s">
        <v>641</v>
      </c>
      <c r="B99" t="s">
        <v>642</v>
      </c>
      <c r="C99" t="s">
        <v>643</v>
      </c>
      <c r="D99" t="s">
        <v>644</v>
      </c>
      <c r="E99" t="s">
        <v>645</v>
      </c>
      <c r="F99" t="s">
        <v>30</v>
      </c>
      <c r="G99" t="s">
        <v>226</v>
      </c>
      <c r="I99" t="s">
        <v>646</v>
      </c>
      <c r="J99" t="s">
        <v>82</v>
      </c>
      <c r="K99" t="s">
        <v>83</v>
      </c>
      <c r="L99" t="s">
        <v>84</v>
      </c>
      <c r="M99" t="s">
        <v>85</v>
      </c>
      <c r="N99">
        <v>2</v>
      </c>
      <c r="O99" t="s">
        <v>647</v>
      </c>
    </row>
    <row r="100" spans="1:15" ht="16.05" customHeight="1">
      <c r="A100" t="s">
        <v>648</v>
      </c>
      <c r="B100" t="s">
        <v>649</v>
      </c>
      <c r="C100" t="s">
        <v>648</v>
      </c>
      <c r="D100" t="s">
        <v>650</v>
      </c>
      <c r="E100" t="s">
        <v>651</v>
      </c>
      <c r="F100" t="s">
        <v>30</v>
      </c>
      <c r="G100" t="s">
        <v>289</v>
      </c>
      <c r="H100" t="s">
        <v>652</v>
      </c>
      <c r="I100" t="s">
        <v>653</v>
      </c>
      <c r="J100" t="s">
        <v>82</v>
      </c>
      <c r="K100" t="s">
        <v>83</v>
      </c>
      <c r="L100" t="s">
        <v>84</v>
      </c>
      <c r="M100" t="s">
        <v>85</v>
      </c>
      <c r="N100">
        <v>2</v>
      </c>
      <c r="O100" t="s">
        <v>86</v>
      </c>
    </row>
    <row r="101" spans="1:15" ht="16.05" customHeight="1">
      <c r="A101" t="s">
        <v>654</v>
      </c>
      <c r="B101" t="s">
        <v>655</v>
      </c>
      <c r="C101" t="s">
        <v>656</v>
      </c>
      <c r="D101" t="s">
        <v>657</v>
      </c>
      <c r="E101" t="s">
        <v>658</v>
      </c>
      <c r="F101" t="s">
        <v>30</v>
      </c>
      <c r="G101" t="s">
        <v>226</v>
      </c>
      <c r="H101" t="s">
        <v>327</v>
      </c>
      <c r="I101">
        <v>606314865</v>
      </c>
      <c r="J101" t="s">
        <v>82</v>
      </c>
      <c r="K101" t="s">
        <v>83</v>
      </c>
      <c r="L101" t="s">
        <v>84</v>
      </c>
      <c r="M101" t="s">
        <v>85</v>
      </c>
      <c r="N101">
        <v>2</v>
      </c>
      <c r="O101" t="s">
        <v>86</v>
      </c>
    </row>
    <row r="102" spans="1:15" ht="16.05" customHeight="1">
      <c r="A102" t="s">
        <v>659</v>
      </c>
      <c r="B102" t="s">
        <v>660</v>
      </c>
      <c r="C102" t="s">
        <v>661</v>
      </c>
      <c r="D102" t="s">
        <v>662</v>
      </c>
      <c r="E102" t="s">
        <v>663</v>
      </c>
      <c r="F102" t="s">
        <v>30</v>
      </c>
      <c r="G102" t="s">
        <v>226</v>
      </c>
      <c r="H102" t="s">
        <v>333</v>
      </c>
      <c r="I102" t="s">
        <v>664</v>
      </c>
      <c r="J102" t="s">
        <v>82</v>
      </c>
      <c r="K102" t="s">
        <v>83</v>
      </c>
      <c r="L102" t="s">
        <v>84</v>
      </c>
      <c r="M102" t="s">
        <v>85</v>
      </c>
      <c r="N102">
        <v>4</v>
      </c>
      <c r="O102" t="s">
        <v>665</v>
      </c>
    </row>
    <row r="103" spans="1:15" ht="16.05" customHeight="1">
      <c r="A103" t="s">
        <v>666</v>
      </c>
      <c r="B103" t="s">
        <v>667</v>
      </c>
      <c r="C103" t="s">
        <v>661</v>
      </c>
      <c r="D103" t="s">
        <v>662</v>
      </c>
      <c r="E103" t="s">
        <v>663</v>
      </c>
      <c r="F103" t="s">
        <v>30</v>
      </c>
      <c r="G103" t="s">
        <v>226</v>
      </c>
      <c r="H103" t="s">
        <v>333</v>
      </c>
      <c r="I103" t="s">
        <v>664</v>
      </c>
      <c r="J103" t="s">
        <v>82</v>
      </c>
      <c r="K103" t="s">
        <v>112</v>
      </c>
      <c r="L103" t="s">
        <v>84</v>
      </c>
      <c r="M103" t="s">
        <v>126</v>
      </c>
      <c r="N103">
        <v>1</v>
      </c>
      <c r="O103" t="s">
        <v>41</v>
      </c>
    </row>
    <row r="104" spans="1:15" ht="16.05" customHeight="1">
      <c r="A104" t="s">
        <v>668</v>
      </c>
      <c r="B104" t="s">
        <v>669</v>
      </c>
      <c r="F104" t="s">
        <v>30</v>
      </c>
      <c r="J104" t="s">
        <v>279</v>
      </c>
      <c r="K104" t="s">
        <v>83</v>
      </c>
      <c r="L104" t="s">
        <v>84</v>
      </c>
      <c r="M104" t="s">
        <v>280</v>
      </c>
      <c r="N104">
        <v>3</v>
      </c>
      <c r="O104" t="s">
        <v>670</v>
      </c>
    </row>
    <row r="105" spans="1:15" ht="16.05" customHeight="1">
      <c r="A105" t="s">
        <v>671</v>
      </c>
      <c r="B105" t="s">
        <v>672</v>
      </c>
      <c r="F105" t="s">
        <v>30</v>
      </c>
      <c r="J105" t="s">
        <v>279</v>
      </c>
      <c r="K105" t="s">
        <v>83</v>
      </c>
      <c r="L105" t="s">
        <v>84</v>
      </c>
      <c r="M105" t="s">
        <v>280</v>
      </c>
      <c r="N105">
        <v>1</v>
      </c>
      <c r="O105" t="s">
        <v>60</v>
      </c>
    </row>
    <row r="106" spans="1:15" ht="16.05" customHeight="1">
      <c r="A106" t="s">
        <v>673</v>
      </c>
      <c r="B106" t="s">
        <v>674</v>
      </c>
      <c r="C106" t="s">
        <v>675</v>
      </c>
      <c r="D106" t="s">
        <v>676</v>
      </c>
      <c r="E106" t="s">
        <v>677</v>
      </c>
      <c r="F106" t="s">
        <v>30</v>
      </c>
      <c r="G106" t="s">
        <v>289</v>
      </c>
      <c r="H106" t="s">
        <v>678</v>
      </c>
      <c r="I106" t="s">
        <v>679</v>
      </c>
      <c r="J106" t="s">
        <v>82</v>
      </c>
      <c r="K106" t="s">
        <v>83</v>
      </c>
      <c r="L106" t="s">
        <v>84</v>
      </c>
      <c r="M106" t="s">
        <v>85</v>
      </c>
      <c r="N106">
        <v>2</v>
      </c>
      <c r="O106" t="s">
        <v>86</v>
      </c>
    </row>
    <row r="107" spans="1:15" ht="16.05" customHeight="1">
      <c r="A107" t="s">
        <v>680</v>
      </c>
      <c r="B107" t="s">
        <v>681</v>
      </c>
      <c r="C107" t="s">
        <v>680</v>
      </c>
      <c r="D107" t="s">
        <v>681</v>
      </c>
      <c r="E107" t="s">
        <v>682</v>
      </c>
      <c r="F107" t="s">
        <v>30</v>
      </c>
      <c r="G107" t="s">
        <v>226</v>
      </c>
      <c r="H107" t="s">
        <v>319</v>
      </c>
      <c r="I107" t="s">
        <v>683</v>
      </c>
      <c r="J107" t="s">
        <v>82</v>
      </c>
      <c r="K107" t="s">
        <v>83</v>
      </c>
      <c r="L107" t="s">
        <v>84</v>
      </c>
      <c r="M107" t="s">
        <v>85</v>
      </c>
      <c r="N107">
        <v>4</v>
      </c>
      <c r="O107" t="s">
        <v>424</v>
      </c>
    </row>
    <row r="108" spans="1:15" ht="16.05" customHeight="1">
      <c r="A108" t="s">
        <v>684</v>
      </c>
      <c r="B108" t="s">
        <v>685</v>
      </c>
      <c r="F108" t="s">
        <v>30</v>
      </c>
      <c r="J108" t="s">
        <v>279</v>
      </c>
      <c r="K108" t="s">
        <v>83</v>
      </c>
      <c r="L108" t="s">
        <v>84</v>
      </c>
      <c r="M108" t="s">
        <v>280</v>
      </c>
      <c r="N108">
        <v>2</v>
      </c>
      <c r="O108" t="s">
        <v>647</v>
      </c>
    </row>
    <row r="109" spans="1:15" ht="16.05" customHeight="1">
      <c r="A109" t="s">
        <v>686</v>
      </c>
      <c r="B109" t="s">
        <v>687</v>
      </c>
      <c r="C109" t="s">
        <v>688</v>
      </c>
      <c r="D109" t="s">
        <v>689</v>
      </c>
      <c r="E109" t="s">
        <v>690</v>
      </c>
      <c r="F109" t="s">
        <v>30</v>
      </c>
      <c r="G109" t="s">
        <v>226</v>
      </c>
      <c r="H109" t="s">
        <v>404</v>
      </c>
      <c r="I109" t="s">
        <v>691</v>
      </c>
      <c r="J109" t="s">
        <v>82</v>
      </c>
      <c r="K109" t="s">
        <v>83</v>
      </c>
      <c r="L109" t="s">
        <v>84</v>
      </c>
      <c r="M109" t="s">
        <v>85</v>
      </c>
      <c r="N109">
        <v>4</v>
      </c>
      <c r="O109" t="s">
        <v>388</v>
      </c>
    </row>
    <row r="110" spans="1:15" ht="16.05" customHeight="1">
      <c r="A110" t="s">
        <v>692</v>
      </c>
      <c r="B110" t="s">
        <v>693</v>
      </c>
      <c r="C110" t="s">
        <v>692</v>
      </c>
      <c r="D110" t="s">
        <v>694</v>
      </c>
      <c r="E110" t="s">
        <v>695</v>
      </c>
      <c r="F110" t="s">
        <v>30</v>
      </c>
      <c r="G110" t="s">
        <v>289</v>
      </c>
      <c r="H110" t="s">
        <v>404</v>
      </c>
      <c r="I110" t="s">
        <v>696</v>
      </c>
      <c r="J110" t="s">
        <v>82</v>
      </c>
      <c r="K110" t="s">
        <v>83</v>
      </c>
      <c r="L110" t="s">
        <v>84</v>
      </c>
      <c r="M110" t="s">
        <v>85</v>
      </c>
      <c r="N110">
        <v>2</v>
      </c>
      <c r="O110" t="s">
        <v>86</v>
      </c>
    </row>
    <row r="111" spans="1:15" ht="16.05" customHeight="1">
      <c r="A111" t="s">
        <v>697</v>
      </c>
      <c r="B111" t="s">
        <v>698</v>
      </c>
      <c r="C111" t="s">
        <v>699</v>
      </c>
      <c r="D111" t="s">
        <v>700</v>
      </c>
      <c r="E111" t="s">
        <v>701</v>
      </c>
      <c r="F111" t="s">
        <v>30</v>
      </c>
      <c r="G111" t="s">
        <v>702</v>
      </c>
      <c r="H111" t="s">
        <v>386</v>
      </c>
      <c r="I111" t="s">
        <v>703</v>
      </c>
      <c r="J111" t="s">
        <v>82</v>
      </c>
      <c r="K111" t="s">
        <v>83</v>
      </c>
      <c r="L111" t="s">
        <v>84</v>
      </c>
      <c r="M111" t="s">
        <v>85</v>
      </c>
      <c r="N111">
        <v>2</v>
      </c>
      <c r="O111" t="s">
        <v>86</v>
      </c>
    </row>
    <row r="112" spans="1:15" ht="16.05" customHeight="1">
      <c r="A112" t="s">
        <v>704</v>
      </c>
      <c r="B112" t="s">
        <v>705</v>
      </c>
      <c r="F112" t="s">
        <v>30</v>
      </c>
      <c r="J112" t="s">
        <v>279</v>
      </c>
      <c r="K112" t="s">
        <v>83</v>
      </c>
      <c r="L112" t="s">
        <v>84</v>
      </c>
      <c r="M112" t="s">
        <v>280</v>
      </c>
      <c r="N112">
        <v>1</v>
      </c>
      <c r="O112" t="s">
        <v>60</v>
      </c>
    </row>
    <row r="113" spans="1:15" ht="16.05" customHeight="1">
      <c r="A113" t="s">
        <v>706</v>
      </c>
      <c r="B113" t="s">
        <v>707</v>
      </c>
      <c r="F113" t="s">
        <v>30</v>
      </c>
      <c r="J113" t="s">
        <v>279</v>
      </c>
      <c r="K113" t="s">
        <v>83</v>
      </c>
      <c r="L113" t="s">
        <v>84</v>
      </c>
      <c r="M113" t="s">
        <v>280</v>
      </c>
      <c r="N113">
        <v>2</v>
      </c>
      <c r="O113" t="s">
        <v>708</v>
      </c>
    </row>
    <row r="114" spans="1:15" ht="16.05" customHeight="1">
      <c r="A114" t="s">
        <v>709</v>
      </c>
      <c r="B114" t="s">
        <v>710</v>
      </c>
      <c r="C114" t="s">
        <v>709</v>
      </c>
      <c r="D114" t="s">
        <v>711</v>
      </c>
      <c r="E114" t="s">
        <v>712</v>
      </c>
      <c r="F114" t="s">
        <v>30</v>
      </c>
      <c r="G114" t="s">
        <v>289</v>
      </c>
      <c r="I114" t="s">
        <v>713</v>
      </c>
      <c r="J114" t="s">
        <v>82</v>
      </c>
      <c r="K114" t="s">
        <v>83</v>
      </c>
      <c r="L114" t="s">
        <v>84</v>
      </c>
      <c r="M114" t="s">
        <v>85</v>
      </c>
      <c r="N114">
        <v>2</v>
      </c>
      <c r="O114" t="s">
        <v>86</v>
      </c>
    </row>
    <row r="115" spans="1:15" ht="16.05" customHeight="1">
      <c r="A115" t="s">
        <v>714</v>
      </c>
      <c r="B115" t="s">
        <v>715</v>
      </c>
      <c r="C115" t="s">
        <v>716</v>
      </c>
      <c r="D115" t="s">
        <v>717</v>
      </c>
      <c r="E115" t="s">
        <v>718</v>
      </c>
      <c r="F115" t="s">
        <v>30</v>
      </c>
      <c r="G115" t="s">
        <v>289</v>
      </c>
      <c r="H115" t="s">
        <v>333</v>
      </c>
      <c r="I115" t="s">
        <v>719</v>
      </c>
      <c r="J115" t="s">
        <v>82</v>
      </c>
      <c r="K115" t="s">
        <v>83</v>
      </c>
      <c r="L115" t="s">
        <v>84</v>
      </c>
      <c r="M115" t="s">
        <v>85</v>
      </c>
      <c r="N115">
        <v>3</v>
      </c>
      <c r="O115" t="s">
        <v>321</v>
      </c>
    </row>
    <row r="116" spans="1:15" ht="16.05" customHeight="1">
      <c r="A116" t="s">
        <v>720</v>
      </c>
      <c r="B116" t="s">
        <v>721</v>
      </c>
      <c r="C116" t="s">
        <v>722</v>
      </c>
      <c r="D116" t="s">
        <v>723</v>
      </c>
      <c r="E116" t="s">
        <v>724</v>
      </c>
      <c r="F116" t="s">
        <v>30</v>
      </c>
      <c r="G116" t="s">
        <v>226</v>
      </c>
      <c r="H116" t="s">
        <v>590</v>
      </c>
      <c r="I116" t="s">
        <v>725</v>
      </c>
      <c r="J116" t="s">
        <v>82</v>
      </c>
      <c r="K116" t="s">
        <v>83</v>
      </c>
      <c r="L116" t="s">
        <v>84</v>
      </c>
      <c r="M116" t="s">
        <v>85</v>
      </c>
      <c r="N116">
        <v>2</v>
      </c>
      <c r="O116" t="s">
        <v>86</v>
      </c>
    </row>
    <row r="117" spans="1:15" ht="16.05" customHeight="1">
      <c r="A117" t="s">
        <v>726</v>
      </c>
      <c r="B117" t="s">
        <v>727</v>
      </c>
      <c r="C117" t="s">
        <v>728</v>
      </c>
      <c r="D117" t="s">
        <v>729</v>
      </c>
      <c r="E117" t="s">
        <v>730</v>
      </c>
      <c r="F117" t="s">
        <v>30</v>
      </c>
      <c r="G117" t="s">
        <v>289</v>
      </c>
      <c r="H117" t="s">
        <v>535</v>
      </c>
      <c r="I117" t="s">
        <v>731</v>
      </c>
      <c r="J117" t="s">
        <v>82</v>
      </c>
      <c r="K117" t="s">
        <v>83</v>
      </c>
      <c r="L117" t="s">
        <v>84</v>
      </c>
      <c r="M117" t="s">
        <v>85</v>
      </c>
      <c r="N117">
        <v>2</v>
      </c>
      <c r="O117" t="s">
        <v>86</v>
      </c>
    </row>
    <row r="118" spans="1:15" ht="16.05" customHeight="1">
      <c r="A118" t="s">
        <v>732</v>
      </c>
      <c r="B118" t="s">
        <v>733</v>
      </c>
      <c r="C118" t="s">
        <v>734</v>
      </c>
      <c r="D118" t="s">
        <v>735</v>
      </c>
      <c r="E118" t="s">
        <v>736</v>
      </c>
      <c r="F118" t="s">
        <v>30</v>
      </c>
      <c r="G118" t="s">
        <v>289</v>
      </c>
      <c r="H118" t="s">
        <v>444</v>
      </c>
      <c r="I118" t="s">
        <v>737</v>
      </c>
      <c r="J118" t="s">
        <v>82</v>
      </c>
      <c r="K118" t="s">
        <v>83</v>
      </c>
      <c r="L118" t="s">
        <v>84</v>
      </c>
      <c r="M118" t="s">
        <v>85</v>
      </c>
      <c r="N118">
        <v>2</v>
      </c>
      <c r="O118" t="s">
        <v>86</v>
      </c>
    </row>
    <row r="119" spans="1:15" ht="16.05" customHeight="1">
      <c r="A119" t="s">
        <v>738</v>
      </c>
      <c r="B119" t="s">
        <v>739</v>
      </c>
      <c r="C119" t="s">
        <v>740</v>
      </c>
      <c r="D119" t="s">
        <v>741</v>
      </c>
      <c r="E119" t="s">
        <v>742</v>
      </c>
      <c r="F119" t="s">
        <v>30</v>
      </c>
      <c r="G119" t="s">
        <v>289</v>
      </c>
      <c r="H119" t="s">
        <v>743</v>
      </c>
      <c r="I119" t="s">
        <v>744</v>
      </c>
      <c r="J119" t="s">
        <v>82</v>
      </c>
      <c r="K119" t="s">
        <v>83</v>
      </c>
      <c r="L119" t="s">
        <v>84</v>
      </c>
      <c r="M119" t="s">
        <v>85</v>
      </c>
      <c r="N119">
        <v>2</v>
      </c>
      <c r="O119" t="s">
        <v>86</v>
      </c>
    </row>
    <row r="120" spans="1:15" ht="16.05" customHeight="1">
      <c r="A120" t="s">
        <v>745</v>
      </c>
      <c r="B120" t="s">
        <v>746</v>
      </c>
      <c r="C120" t="s">
        <v>745</v>
      </c>
      <c r="D120" t="s">
        <v>747</v>
      </c>
      <c r="E120" t="s">
        <v>748</v>
      </c>
      <c r="F120" t="s">
        <v>30</v>
      </c>
      <c r="G120" t="s">
        <v>226</v>
      </c>
      <c r="H120" t="s">
        <v>749</v>
      </c>
      <c r="I120" t="s">
        <v>750</v>
      </c>
      <c r="J120" t="s">
        <v>82</v>
      </c>
      <c r="K120" t="s">
        <v>83</v>
      </c>
      <c r="L120" t="s">
        <v>84</v>
      </c>
      <c r="M120" t="s">
        <v>85</v>
      </c>
      <c r="N120">
        <v>2</v>
      </c>
      <c r="O120" t="s">
        <v>86</v>
      </c>
    </row>
    <row r="121" spans="1:15" ht="16.05" customHeight="1">
      <c r="A121" t="s">
        <v>751</v>
      </c>
      <c r="B121" t="s">
        <v>752</v>
      </c>
      <c r="C121" t="s">
        <v>751</v>
      </c>
      <c r="D121" t="s">
        <v>753</v>
      </c>
      <c r="E121" t="s">
        <v>754</v>
      </c>
      <c r="F121" t="s">
        <v>30</v>
      </c>
      <c r="G121" t="s">
        <v>289</v>
      </c>
      <c r="H121" t="s">
        <v>755</v>
      </c>
      <c r="I121" t="s">
        <v>756</v>
      </c>
      <c r="J121" t="s">
        <v>82</v>
      </c>
      <c r="K121" t="s">
        <v>83</v>
      </c>
      <c r="L121" t="s">
        <v>84</v>
      </c>
      <c r="M121" t="s">
        <v>85</v>
      </c>
      <c r="N121">
        <v>3</v>
      </c>
      <c r="O121" t="s">
        <v>96</v>
      </c>
    </row>
    <row r="122" spans="1:15" ht="16.05" customHeight="1">
      <c r="A122" t="s">
        <v>757</v>
      </c>
      <c r="B122" t="s">
        <v>758</v>
      </c>
      <c r="C122" t="s">
        <v>757</v>
      </c>
      <c r="D122" t="s">
        <v>759</v>
      </c>
      <c r="E122" t="s">
        <v>760</v>
      </c>
      <c r="F122" t="s">
        <v>30</v>
      </c>
      <c r="G122" t="s">
        <v>289</v>
      </c>
      <c r="H122" t="s">
        <v>373</v>
      </c>
      <c r="I122" t="s">
        <v>761</v>
      </c>
      <c r="J122" t="s">
        <v>82</v>
      </c>
      <c r="K122" t="s">
        <v>83</v>
      </c>
      <c r="L122" t="s">
        <v>84</v>
      </c>
      <c r="M122" t="s">
        <v>85</v>
      </c>
      <c r="N122">
        <v>2</v>
      </c>
      <c r="O122" t="s">
        <v>86</v>
      </c>
    </row>
    <row r="123" spans="1:15" ht="16.05" customHeight="1">
      <c r="A123" t="s">
        <v>762</v>
      </c>
      <c r="B123" t="s">
        <v>763</v>
      </c>
      <c r="C123" t="s">
        <v>764</v>
      </c>
      <c r="D123" t="s">
        <v>765</v>
      </c>
      <c r="E123" t="s">
        <v>766</v>
      </c>
      <c r="F123" t="s">
        <v>30</v>
      </c>
      <c r="G123" t="s">
        <v>289</v>
      </c>
      <c r="H123" t="s">
        <v>590</v>
      </c>
      <c r="I123" t="s">
        <v>767</v>
      </c>
      <c r="J123" t="s">
        <v>82</v>
      </c>
      <c r="K123" t="s">
        <v>83</v>
      </c>
      <c r="L123" t="s">
        <v>84</v>
      </c>
      <c r="M123" t="s">
        <v>85</v>
      </c>
      <c r="N123">
        <v>2</v>
      </c>
      <c r="O123" t="s">
        <v>768</v>
      </c>
    </row>
    <row r="124" spans="1:15" ht="16.05" customHeight="1">
      <c r="A124" t="s">
        <v>769</v>
      </c>
      <c r="B124" t="s">
        <v>770</v>
      </c>
      <c r="C124" t="s">
        <v>769</v>
      </c>
      <c r="D124" t="s">
        <v>771</v>
      </c>
      <c r="E124" t="s">
        <v>772</v>
      </c>
      <c r="F124" t="s">
        <v>30</v>
      </c>
      <c r="G124" t="s">
        <v>289</v>
      </c>
      <c r="H124" t="s">
        <v>404</v>
      </c>
      <c r="I124" t="s">
        <v>773</v>
      </c>
      <c r="J124" t="s">
        <v>82</v>
      </c>
      <c r="K124" t="s">
        <v>83</v>
      </c>
      <c r="L124" t="s">
        <v>84</v>
      </c>
      <c r="M124" t="s">
        <v>85</v>
      </c>
      <c r="N124">
        <v>2</v>
      </c>
      <c r="O124" t="s">
        <v>86</v>
      </c>
    </row>
    <row r="125" spans="1:15" ht="16.05" customHeight="1">
      <c r="A125" t="s">
        <v>774</v>
      </c>
      <c r="B125" t="s">
        <v>775</v>
      </c>
      <c r="F125" t="s">
        <v>30</v>
      </c>
      <c r="J125" t="s">
        <v>279</v>
      </c>
      <c r="K125" t="s">
        <v>83</v>
      </c>
      <c r="L125" t="s">
        <v>84</v>
      </c>
      <c r="M125" t="s">
        <v>280</v>
      </c>
      <c r="N125">
        <v>2</v>
      </c>
      <c r="O125" t="s">
        <v>647</v>
      </c>
    </row>
    <row r="126" spans="1:15" ht="16.05" customHeight="1">
      <c r="A126" t="s">
        <v>776</v>
      </c>
      <c r="B126" t="s">
        <v>777</v>
      </c>
      <c r="C126" t="s">
        <v>778</v>
      </c>
      <c r="D126" t="s">
        <v>779</v>
      </c>
      <c r="E126" t="s">
        <v>780</v>
      </c>
      <c r="F126" t="s">
        <v>30</v>
      </c>
      <c r="G126" t="s">
        <v>289</v>
      </c>
      <c r="H126" t="s">
        <v>429</v>
      </c>
      <c r="I126" t="s">
        <v>781</v>
      </c>
      <c r="J126" t="s">
        <v>82</v>
      </c>
      <c r="K126" t="s">
        <v>83</v>
      </c>
      <c r="L126" t="s">
        <v>84</v>
      </c>
      <c r="M126" t="s">
        <v>85</v>
      </c>
      <c r="N126">
        <v>2</v>
      </c>
      <c r="O126" t="s">
        <v>86</v>
      </c>
    </row>
    <row r="127" spans="1:15" ht="16.05" customHeight="1">
      <c r="A127" t="s">
        <v>782</v>
      </c>
      <c r="B127" t="s">
        <v>783</v>
      </c>
      <c r="F127" t="s">
        <v>30</v>
      </c>
      <c r="J127" t="s">
        <v>279</v>
      </c>
      <c r="K127" t="s">
        <v>83</v>
      </c>
      <c r="L127" t="s">
        <v>84</v>
      </c>
      <c r="M127" t="s">
        <v>280</v>
      </c>
      <c r="N127">
        <v>3</v>
      </c>
      <c r="O127" t="s">
        <v>228</v>
      </c>
    </row>
    <row r="128" spans="1:15" ht="16.05" customHeight="1">
      <c r="A128" t="s">
        <v>784</v>
      </c>
      <c r="B128" t="s">
        <v>785</v>
      </c>
      <c r="F128" t="s">
        <v>30</v>
      </c>
      <c r="J128" t="s">
        <v>279</v>
      </c>
      <c r="K128" t="s">
        <v>83</v>
      </c>
      <c r="L128" t="s">
        <v>84</v>
      </c>
      <c r="M128" t="s">
        <v>280</v>
      </c>
      <c r="N128">
        <v>3</v>
      </c>
      <c r="O128" t="s">
        <v>228</v>
      </c>
    </row>
    <row r="129" spans="1:15" ht="16.05" customHeight="1">
      <c r="A129" t="s">
        <v>786</v>
      </c>
      <c r="B129" t="s">
        <v>787</v>
      </c>
      <c r="F129" t="s">
        <v>30</v>
      </c>
      <c r="J129" t="s">
        <v>279</v>
      </c>
      <c r="K129" t="s">
        <v>83</v>
      </c>
      <c r="L129" t="s">
        <v>84</v>
      </c>
      <c r="M129" t="s">
        <v>280</v>
      </c>
      <c r="N129">
        <v>1</v>
      </c>
      <c r="O129" t="s">
        <v>43</v>
      </c>
    </row>
    <row r="130" spans="1:15" ht="16.05" customHeight="1">
      <c r="A130" t="s">
        <v>788</v>
      </c>
      <c r="B130" t="s">
        <v>789</v>
      </c>
      <c r="F130" t="s">
        <v>30</v>
      </c>
      <c r="J130" t="s">
        <v>279</v>
      </c>
      <c r="K130" t="s">
        <v>83</v>
      </c>
      <c r="L130" t="s">
        <v>84</v>
      </c>
      <c r="M130" t="s">
        <v>280</v>
      </c>
      <c r="N130">
        <v>3</v>
      </c>
      <c r="O130" t="s">
        <v>161</v>
      </c>
    </row>
    <row r="131" spans="1:15" ht="16.05" customHeight="1">
      <c r="A131" t="s">
        <v>790</v>
      </c>
      <c r="B131" t="s">
        <v>791</v>
      </c>
      <c r="F131" t="s">
        <v>34</v>
      </c>
      <c r="J131" t="s">
        <v>792</v>
      </c>
      <c r="K131" t="s">
        <v>793</v>
      </c>
      <c r="L131" t="s">
        <v>192</v>
      </c>
      <c r="M131" t="s">
        <v>794</v>
      </c>
      <c r="N131">
        <v>3</v>
      </c>
      <c r="O131" t="s">
        <v>96</v>
      </c>
    </row>
    <row r="132" spans="1:15" ht="16.05" customHeight="1">
      <c r="A132" t="s">
        <v>795</v>
      </c>
      <c r="B132" t="s">
        <v>796</v>
      </c>
      <c r="F132" t="s">
        <v>34</v>
      </c>
      <c r="J132" t="s">
        <v>792</v>
      </c>
      <c r="K132" t="s">
        <v>793</v>
      </c>
      <c r="L132" t="s">
        <v>192</v>
      </c>
      <c r="M132" t="s">
        <v>794</v>
      </c>
      <c r="N132">
        <v>2</v>
      </c>
      <c r="O132" t="s">
        <v>86</v>
      </c>
    </row>
    <row r="133" spans="1:15" ht="16.05" customHeight="1">
      <c r="A133" t="s">
        <v>797</v>
      </c>
      <c r="B133" t="s">
        <v>798</v>
      </c>
      <c r="D133" t="s">
        <v>799</v>
      </c>
      <c r="F133" t="s">
        <v>34</v>
      </c>
      <c r="J133" t="s">
        <v>792</v>
      </c>
      <c r="K133" t="s">
        <v>793</v>
      </c>
      <c r="L133" t="s">
        <v>192</v>
      </c>
      <c r="M133" t="s">
        <v>800</v>
      </c>
      <c r="N133">
        <v>3</v>
      </c>
      <c r="O133" t="s">
        <v>96</v>
      </c>
    </row>
    <row r="134" spans="1:15" ht="16.05" customHeight="1">
      <c r="A134" t="s">
        <v>801</v>
      </c>
      <c r="B134" t="s">
        <v>802</v>
      </c>
      <c r="F134" t="s">
        <v>34</v>
      </c>
      <c r="J134" t="s">
        <v>792</v>
      </c>
      <c r="K134" t="s">
        <v>793</v>
      </c>
      <c r="L134" t="s">
        <v>192</v>
      </c>
      <c r="M134" t="s">
        <v>794</v>
      </c>
      <c r="N134">
        <v>2</v>
      </c>
      <c r="O134" t="s">
        <v>803</v>
      </c>
    </row>
    <row r="135" spans="1:15" ht="16.05" customHeight="1">
      <c r="A135" t="s">
        <v>804</v>
      </c>
      <c r="B135" t="s">
        <v>805</v>
      </c>
      <c r="F135" t="s">
        <v>34</v>
      </c>
      <c r="J135" t="s">
        <v>792</v>
      </c>
      <c r="K135" t="s">
        <v>793</v>
      </c>
      <c r="L135" t="s">
        <v>192</v>
      </c>
      <c r="M135" t="s">
        <v>794</v>
      </c>
      <c r="N135">
        <v>1</v>
      </c>
      <c r="O135" t="s">
        <v>43</v>
      </c>
    </row>
    <row r="136" spans="1:15" ht="16.05" customHeight="1">
      <c r="A136" t="s">
        <v>806</v>
      </c>
      <c r="B136" t="s">
        <v>807</v>
      </c>
      <c r="F136" t="s">
        <v>34</v>
      </c>
      <c r="J136" t="s">
        <v>792</v>
      </c>
      <c r="K136" t="s">
        <v>793</v>
      </c>
      <c r="L136" t="s">
        <v>192</v>
      </c>
      <c r="M136" t="s">
        <v>794</v>
      </c>
      <c r="N136">
        <v>2</v>
      </c>
      <c r="O136" t="s">
        <v>86</v>
      </c>
    </row>
    <row r="137" spans="1:15" ht="16.05" customHeight="1">
      <c r="A137" t="s">
        <v>808</v>
      </c>
      <c r="B137" t="s">
        <v>809</v>
      </c>
      <c r="F137" t="s">
        <v>34</v>
      </c>
      <c r="J137" t="s">
        <v>792</v>
      </c>
      <c r="K137" t="s">
        <v>793</v>
      </c>
      <c r="L137" t="s">
        <v>192</v>
      </c>
      <c r="M137" t="s">
        <v>794</v>
      </c>
      <c r="N137">
        <v>3</v>
      </c>
      <c r="O137" t="s">
        <v>228</v>
      </c>
    </row>
    <row r="138" spans="1:15" ht="16.05" customHeight="1">
      <c r="A138" t="s">
        <v>810</v>
      </c>
      <c r="B138" t="s">
        <v>811</v>
      </c>
      <c r="F138" t="s">
        <v>34</v>
      </c>
      <c r="J138" t="s">
        <v>792</v>
      </c>
      <c r="K138" t="s">
        <v>793</v>
      </c>
      <c r="L138" t="s">
        <v>192</v>
      </c>
      <c r="M138" t="s">
        <v>794</v>
      </c>
      <c r="N138">
        <v>2</v>
      </c>
      <c r="O138" t="s">
        <v>86</v>
      </c>
    </row>
    <row r="139" spans="1:15" ht="16.05" customHeight="1">
      <c r="A139" t="s">
        <v>812</v>
      </c>
      <c r="B139" t="s">
        <v>813</v>
      </c>
      <c r="D139" t="s">
        <v>512</v>
      </c>
      <c r="F139" t="s">
        <v>34</v>
      </c>
      <c r="J139" t="s">
        <v>792</v>
      </c>
      <c r="K139" t="s">
        <v>793</v>
      </c>
      <c r="L139" t="s">
        <v>192</v>
      </c>
      <c r="M139" t="s">
        <v>814</v>
      </c>
      <c r="N139">
        <v>2</v>
      </c>
      <c r="O139" t="s">
        <v>803</v>
      </c>
    </row>
    <row r="140" spans="1:15" ht="16.05" customHeight="1">
      <c r="A140" t="s">
        <v>815</v>
      </c>
      <c r="B140" t="s">
        <v>816</v>
      </c>
      <c r="F140" t="s">
        <v>34</v>
      </c>
      <c r="J140" t="s">
        <v>792</v>
      </c>
      <c r="K140" t="s">
        <v>793</v>
      </c>
      <c r="L140" t="s">
        <v>192</v>
      </c>
      <c r="M140" t="s">
        <v>794</v>
      </c>
      <c r="N140">
        <v>3</v>
      </c>
      <c r="O140" t="s">
        <v>321</v>
      </c>
    </row>
    <row r="141" spans="1:15" ht="16.05" customHeight="1">
      <c r="A141" t="s">
        <v>817</v>
      </c>
      <c r="B141" t="s">
        <v>818</v>
      </c>
      <c r="F141" t="s">
        <v>34</v>
      </c>
      <c r="J141" t="s">
        <v>792</v>
      </c>
      <c r="K141" t="s">
        <v>793</v>
      </c>
      <c r="L141" t="s">
        <v>192</v>
      </c>
      <c r="M141" t="s">
        <v>794</v>
      </c>
      <c r="N141">
        <v>2</v>
      </c>
      <c r="O141" t="s">
        <v>86</v>
      </c>
    </row>
    <row r="142" spans="1:15" ht="16.05" customHeight="1">
      <c r="A142" t="s">
        <v>819</v>
      </c>
      <c r="B142" t="s">
        <v>820</v>
      </c>
      <c r="F142" t="s">
        <v>34</v>
      </c>
      <c r="J142" t="s">
        <v>792</v>
      </c>
      <c r="K142" t="s">
        <v>793</v>
      </c>
      <c r="L142" t="s">
        <v>192</v>
      </c>
      <c r="M142" t="s">
        <v>794</v>
      </c>
      <c r="N142">
        <v>3</v>
      </c>
      <c r="O142" t="s">
        <v>821</v>
      </c>
    </row>
    <row r="143" spans="1:15" ht="16.05" customHeight="1">
      <c r="A143" t="s">
        <v>822</v>
      </c>
      <c r="B143" t="s">
        <v>823</v>
      </c>
      <c r="F143" t="s">
        <v>34</v>
      </c>
      <c r="J143" t="s">
        <v>792</v>
      </c>
      <c r="K143" t="s">
        <v>793</v>
      </c>
      <c r="L143" t="s">
        <v>192</v>
      </c>
      <c r="M143" t="s">
        <v>794</v>
      </c>
      <c r="N143">
        <v>1</v>
      </c>
      <c r="O143" t="s">
        <v>43</v>
      </c>
    </row>
    <row r="144" spans="1:15" ht="16.05" customHeight="1">
      <c r="A144" t="s">
        <v>824</v>
      </c>
      <c r="B144" t="s">
        <v>825</v>
      </c>
      <c r="F144" t="s">
        <v>34</v>
      </c>
      <c r="J144" t="s">
        <v>792</v>
      </c>
      <c r="K144" t="s">
        <v>793</v>
      </c>
      <c r="L144" t="s">
        <v>192</v>
      </c>
      <c r="M144" t="s">
        <v>794</v>
      </c>
      <c r="N144">
        <v>5</v>
      </c>
      <c r="O144" t="s">
        <v>394</v>
      </c>
    </row>
    <row r="145" spans="1:15" ht="16.05" customHeight="1">
      <c r="A145" t="s">
        <v>826</v>
      </c>
      <c r="B145" t="s">
        <v>827</v>
      </c>
      <c r="F145" t="s">
        <v>34</v>
      </c>
      <c r="J145" t="s">
        <v>792</v>
      </c>
      <c r="K145" t="s">
        <v>793</v>
      </c>
      <c r="L145" t="s">
        <v>192</v>
      </c>
      <c r="M145" t="s">
        <v>794</v>
      </c>
      <c r="N145">
        <v>1</v>
      </c>
      <c r="O145" t="s">
        <v>41</v>
      </c>
    </row>
    <row r="146" spans="1:15" ht="16.05" customHeight="1">
      <c r="A146" t="s">
        <v>828</v>
      </c>
      <c r="B146" t="s">
        <v>829</v>
      </c>
      <c r="F146" t="s">
        <v>34</v>
      </c>
      <c r="J146" t="s">
        <v>792</v>
      </c>
      <c r="K146" t="s">
        <v>793</v>
      </c>
      <c r="L146" t="s">
        <v>192</v>
      </c>
      <c r="M146" t="s">
        <v>794</v>
      </c>
      <c r="N146">
        <v>2</v>
      </c>
      <c r="O146" t="s">
        <v>193</v>
      </c>
    </row>
    <row r="147" spans="1:15" ht="16.05" customHeight="1">
      <c r="A147" t="s">
        <v>830</v>
      </c>
      <c r="B147" t="s">
        <v>831</v>
      </c>
      <c r="F147" t="s">
        <v>34</v>
      </c>
      <c r="J147" t="s">
        <v>792</v>
      </c>
      <c r="K147" t="s">
        <v>793</v>
      </c>
      <c r="L147" t="s">
        <v>192</v>
      </c>
      <c r="M147" t="s">
        <v>794</v>
      </c>
      <c r="N147">
        <v>2</v>
      </c>
      <c r="O147" t="s">
        <v>86</v>
      </c>
    </row>
    <row r="148" spans="1:15" ht="16.05" customHeight="1">
      <c r="A148" t="s">
        <v>832</v>
      </c>
      <c r="B148" t="s">
        <v>833</v>
      </c>
      <c r="F148" t="s">
        <v>34</v>
      </c>
      <c r="J148" t="s">
        <v>792</v>
      </c>
      <c r="K148" t="s">
        <v>793</v>
      </c>
      <c r="L148" t="s">
        <v>192</v>
      </c>
      <c r="M148" t="s">
        <v>794</v>
      </c>
      <c r="N148">
        <v>1</v>
      </c>
      <c r="O148" t="s">
        <v>43</v>
      </c>
    </row>
    <row r="149" spans="1:15" ht="16.05" customHeight="1"/>
    <row r="150" spans="1:15" ht="16.05" customHeight="1"/>
    <row r="151" spans="1:15" ht="16.05" customHeight="1"/>
    <row r="152" spans="1:15" ht="16.05" customHeight="1"/>
    <row r="153" spans="1:15" ht="16.05" customHeight="1"/>
    <row r="154" spans="1:15" ht="16.05" customHeight="1"/>
    <row r="155" spans="1:15" ht="16.05" customHeight="1"/>
    <row r="156" spans="1:15" ht="16.05" customHeight="1"/>
    <row r="157" spans="1:15" ht="16.05" customHeight="1"/>
    <row r="158" spans="1:15" ht="16.05" customHeight="1"/>
    <row r="159" spans="1:15" ht="16.05" customHeight="1"/>
    <row r="160" spans="1:15" ht="16.05" customHeight="1"/>
    <row r="161" ht="16.05" customHeight="1"/>
    <row r="162" ht="16.05" customHeight="1"/>
    <row r="163" ht="16.05" customHeight="1"/>
    <row r="164" ht="16.05" customHeight="1"/>
    <row r="165" ht="16.05" customHeight="1"/>
    <row r="166" ht="16.05" customHeight="1"/>
    <row r="167" ht="16.05" customHeight="1"/>
    <row r="168" ht="16.05" customHeight="1"/>
    <row r="169" ht="16.05" customHeight="1"/>
    <row r="170" ht="16.05" customHeight="1"/>
    <row r="171" ht="16.05" customHeight="1"/>
    <row r="172" ht="16.05" customHeight="1"/>
    <row r="173" ht="16.05" customHeight="1"/>
    <row r="174" ht="16.05" customHeight="1"/>
    <row r="175" ht="16.05" customHeight="1"/>
    <row r="176" ht="16.05" customHeight="1"/>
    <row r="177" ht="16.05" customHeight="1"/>
    <row r="178" ht="16.05" customHeight="1"/>
    <row r="179" ht="16.05" customHeight="1"/>
    <row r="180" ht="16.05" customHeight="1"/>
    <row r="181" ht="16.05" customHeight="1"/>
    <row r="182" ht="16.05" customHeight="1"/>
    <row r="183" ht="16.05" customHeight="1"/>
    <row r="184" ht="16.05" customHeight="1"/>
    <row r="185" ht="16.05" customHeight="1"/>
    <row r="186" ht="16.05" customHeight="1"/>
    <row r="187" ht="16.05" customHeight="1"/>
    <row r="188" ht="16.05" customHeight="1"/>
    <row r="189" ht="16.05" customHeight="1"/>
    <row r="190" ht="16.05" customHeight="1"/>
    <row r="191" ht="16.05" customHeight="1"/>
    <row r="192" ht="16.05" customHeight="1"/>
    <row r="193" ht="16.05" customHeight="1"/>
    <row r="194" ht="16.05" customHeight="1"/>
    <row r="195" ht="16.05" customHeight="1"/>
    <row r="196" ht="16.05" customHeight="1"/>
    <row r="197" ht="16.05" customHeight="1"/>
    <row r="198" ht="16.05" customHeight="1"/>
    <row r="199" ht="16.05" customHeight="1"/>
    <row r="200" ht="16.05" customHeight="1"/>
    <row r="201" ht="16.05" customHeight="1"/>
    <row r="202" ht="16.05" customHeight="1"/>
    <row r="203" ht="16.05" customHeight="1"/>
    <row r="204" ht="16.05" customHeight="1"/>
    <row r="205" ht="16.05" customHeight="1"/>
    <row r="206" ht="16.05" customHeight="1"/>
    <row r="207" ht="16.05" customHeight="1"/>
    <row r="208" ht="16.05" customHeight="1"/>
    <row r="209" ht="16.05" customHeight="1"/>
    <row r="210" ht="16.05" customHeight="1"/>
    <row r="211" ht="16.05" customHeight="1"/>
    <row r="212" ht="16.05" customHeight="1"/>
    <row r="213" ht="16.05" customHeight="1"/>
    <row r="214" ht="16.05" customHeight="1"/>
    <row r="215" ht="16.05" customHeight="1"/>
    <row r="216" ht="16.05" customHeight="1"/>
    <row r="217" ht="16.05" customHeight="1"/>
    <row r="218" ht="16.05" customHeight="1"/>
    <row r="219" ht="16.05" customHeight="1"/>
    <row r="220" ht="16.05" customHeight="1"/>
    <row r="221" ht="16.05" customHeight="1"/>
    <row r="222" ht="16.05" customHeight="1"/>
    <row r="223" ht="16.05" customHeight="1"/>
    <row r="224" ht="16.05" customHeight="1"/>
    <row r="225" ht="16.05" customHeight="1"/>
    <row r="226" ht="16.05" customHeight="1"/>
    <row r="227" ht="16.05" customHeight="1"/>
    <row r="228" ht="16.05" customHeight="1"/>
    <row r="229" ht="16.05" customHeight="1"/>
    <row r="230" ht="16.05" customHeight="1"/>
    <row r="231" ht="16.05" customHeight="1"/>
    <row r="232" ht="16.05" customHeight="1"/>
    <row r="233" ht="16.05" customHeight="1"/>
    <row r="234" ht="16.05" customHeight="1"/>
    <row r="235" ht="16.05" customHeight="1"/>
    <row r="236" ht="16.05" customHeight="1"/>
    <row r="237" ht="16.05" customHeight="1"/>
    <row r="238" ht="16.05" customHeight="1"/>
    <row r="239" ht="16.05" customHeight="1"/>
    <row r="240" ht="16.05" customHeight="1"/>
    <row r="241" ht="16.05" customHeight="1"/>
    <row r="242" ht="16.05" customHeight="1"/>
    <row r="243" ht="16.05" customHeight="1"/>
    <row r="244" ht="16.05" customHeight="1"/>
    <row r="245" ht="16.05" customHeight="1"/>
    <row r="246" ht="16.05" customHeight="1"/>
    <row r="247" ht="16.05" customHeight="1"/>
    <row r="248" ht="16.05" customHeight="1"/>
    <row r="249" ht="16.05" customHeight="1"/>
    <row r="250" ht="16.05" customHeight="1"/>
    <row r="251" ht="16.05" customHeight="1"/>
    <row r="252" ht="16.05" customHeight="1"/>
    <row r="253" ht="16.05" customHeight="1"/>
    <row r="254" ht="16.05" customHeight="1"/>
    <row r="255" ht="16.05" customHeight="1"/>
    <row r="256" ht="16.05" customHeight="1"/>
    <row r="257" ht="16.05" customHeight="1"/>
    <row r="258" ht="16.05" customHeight="1"/>
    <row r="259" ht="16.05" customHeight="1"/>
    <row r="260" ht="16.05" customHeight="1"/>
    <row r="261" ht="16.05" customHeight="1"/>
    <row r="262" ht="16.05" customHeight="1"/>
    <row r="263" ht="16.05" customHeight="1"/>
    <row r="264" ht="16.05" customHeight="1"/>
    <row r="265" ht="16.05" customHeight="1"/>
    <row r="266" ht="16.05" customHeight="1"/>
    <row r="267" ht="16.05" customHeight="1"/>
    <row r="268" ht="16.05" customHeight="1"/>
    <row r="269" ht="16.05" customHeight="1"/>
    <row r="270" ht="16.05" customHeight="1"/>
    <row r="271" ht="16.05" customHeight="1"/>
    <row r="272" ht="16.05" customHeight="1"/>
    <row r="273" ht="16.05" customHeight="1"/>
    <row r="274" ht="16.05" customHeight="1"/>
    <row r="275" ht="16.05" customHeight="1"/>
    <row r="276" ht="16.05" customHeight="1"/>
    <row r="277" ht="16.05" customHeight="1"/>
    <row r="278" ht="16.05" customHeight="1"/>
    <row r="279" ht="16.05" customHeight="1"/>
    <row r="280" ht="16.05" customHeight="1"/>
    <row r="281" ht="16.05" customHeight="1"/>
    <row r="282" ht="16.05" customHeight="1"/>
    <row r="283" ht="16.05" customHeight="1"/>
    <row r="284" ht="16.05" customHeight="1"/>
    <row r="285" ht="16.05" customHeight="1"/>
    <row r="286" ht="16.05" customHeight="1"/>
    <row r="287" ht="16.05" customHeight="1"/>
    <row r="288" ht="16.05" customHeight="1"/>
    <row r="289" ht="16.05" customHeight="1"/>
    <row r="290" ht="16.05" customHeight="1"/>
    <row r="291" ht="16.05" customHeight="1"/>
    <row r="292" ht="16.05" customHeight="1"/>
    <row r="293" ht="16.05" customHeight="1"/>
    <row r="294" ht="16.05" customHeight="1"/>
    <row r="295" ht="16.05" customHeight="1"/>
    <row r="296" ht="16.05" customHeight="1"/>
    <row r="297" ht="16.05" customHeight="1"/>
    <row r="298" ht="16.05" customHeight="1"/>
    <row r="299" ht="16.05" customHeight="1"/>
    <row r="300" ht="16.05" customHeight="1"/>
    <row r="301" ht="16.05" customHeight="1"/>
    <row r="302" ht="16.05" customHeight="1"/>
    <row r="303" ht="16.05" customHeight="1"/>
    <row r="304" ht="16.05" customHeight="1"/>
    <row r="305" ht="16.05" customHeight="1"/>
    <row r="306" ht="16.05" customHeight="1"/>
    <row r="307" ht="16.05" customHeight="1"/>
    <row r="308" ht="16.05" customHeight="1"/>
    <row r="309" ht="16.05" customHeight="1"/>
    <row r="310" ht="16.05" customHeight="1"/>
    <row r="311" ht="16.05" customHeight="1"/>
    <row r="312" ht="16.05" customHeight="1"/>
    <row r="313" ht="16.05" customHeight="1"/>
    <row r="314" ht="16.05" customHeight="1"/>
    <row r="315" ht="16.05" customHeight="1"/>
    <row r="316" ht="16.05" customHeight="1"/>
    <row r="317" ht="16.05" customHeight="1"/>
    <row r="318" ht="16.05" customHeight="1"/>
    <row r="319" ht="16.05" customHeight="1"/>
    <row r="320" ht="16.05" customHeight="1"/>
    <row r="321" ht="16.05" customHeight="1"/>
    <row r="322" ht="16.05" customHeight="1"/>
    <row r="323" ht="16.05" customHeight="1"/>
    <row r="324" ht="16.05" customHeight="1"/>
    <row r="325" ht="16.05" customHeight="1"/>
    <row r="326" ht="16.05" customHeight="1"/>
    <row r="327" ht="16.05" customHeight="1"/>
    <row r="328" ht="16.05" customHeight="1"/>
    <row r="329" ht="16.05" customHeight="1"/>
    <row r="330" ht="16.05" customHeight="1"/>
    <row r="331" ht="16.05" customHeight="1"/>
    <row r="332" ht="16.05" customHeight="1"/>
    <row r="333" ht="16.05" customHeight="1"/>
    <row r="334" ht="16.05" customHeight="1"/>
    <row r="335" ht="16.05" customHeight="1"/>
    <row r="336" ht="16.05" customHeight="1"/>
    <row r="337" ht="16.05" customHeight="1"/>
    <row r="338" ht="16.05" customHeight="1"/>
    <row r="339" ht="16.05" customHeight="1"/>
    <row r="340" ht="16.05" customHeight="1"/>
    <row r="341" ht="16.05" customHeight="1"/>
    <row r="342" ht="16.05" customHeight="1"/>
    <row r="343" ht="16.05" customHeight="1"/>
    <row r="344" ht="16.05" customHeight="1"/>
    <row r="345" ht="16.05" customHeight="1"/>
    <row r="346" ht="16.05" customHeight="1"/>
    <row r="347" ht="16.05" customHeight="1"/>
    <row r="348" ht="16.05" customHeight="1"/>
    <row r="349" ht="16.05" customHeight="1"/>
    <row r="350" ht="16.05" customHeight="1"/>
    <row r="351" ht="16.05" customHeight="1"/>
    <row r="352" ht="16.05" customHeight="1"/>
    <row r="353" ht="16.05" customHeight="1"/>
    <row r="354" ht="16.05" customHeight="1"/>
    <row r="355" ht="16.05" customHeight="1"/>
    <row r="356" ht="16.05" customHeight="1"/>
    <row r="357" ht="16.05" customHeight="1"/>
    <row r="358" ht="16.05" customHeight="1"/>
    <row r="359" ht="16.05" customHeight="1"/>
    <row r="360" ht="16.05" customHeight="1"/>
    <row r="361" ht="16.05" customHeight="1"/>
    <row r="362" ht="16.05" customHeight="1"/>
    <row r="363" ht="16.05" customHeight="1"/>
    <row r="364" ht="16.05" customHeight="1"/>
    <row r="365" ht="16.05" customHeight="1"/>
    <row r="366" ht="16.05" customHeight="1"/>
    <row r="367" ht="16.05" customHeight="1"/>
    <row r="368" ht="16.05" customHeight="1"/>
    <row r="369" ht="16.05" customHeight="1"/>
    <row r="370" ht="16.05" customHeight="1"/>
    <row r="371" ht="16.05" customHeight="1"/>
    <row r="372" ht="16.05" customHeight="1"/>
    <row r="373" ht="16.05" customHeight="1"/>
    <row r="374" ht="16.05" customHeight="1"/>
    <row r="375" ht="16.05" customHeight="1"/>
    <row r="376" ht="16.05" customHeight="1"/>
    <row r="377" ht="16.05" customHeight="1"/>
    <row r="378" ht="16.05" customHeight="1"/>
    <row r="379" ht="16.05" customHeight="1"/>
    <row r="380" ht="16.05" customHeight="1"/>
    <row r="381" ht="16.05" customHeight="1"/>
    <row r="382" ht="16.05" customHeight="1"/>
    <row r="383" ht="16.05" customHeight="1"/>
    <row r="384" ht="16.05" customHeight="1"/>
    <row r="385" ht="16.05" customHeight="1"/>
    <row r="386" ht="16.05" customHeight="1"/>
    <row r="387" ht="16.05" customHeight="1"/>
    <row r="388" ht="16.05" customHeight="1"/>
    <row r="389" ht="16.05" customHeight="1"/>
    <row r="390" ht="16.05" customHeight="1"/>
    <row r="391" ht="16.05" customHeight="1"/>
    <row r="392" ht="16.05" customHeight="1"/>
    <row r="393" ht="16.05" customHeight="1"/>
    <row r="394" ht="16.05" customHeight="1"/>
    <row r="395" ht="16.05" customHeight="1"/>
    <row r="396" ht="16.05" customHeight="1"/>
    <row r="397" ht="16.05" customHeight="1"/>
    <row r="398" ht="16.05" customHeight="1"/>
    <row r="399" ht="16.05" customHeight="1"/>
    <row r="400" ht="16.05" customHeight="1"/>
    <row r="401" ht="16.05" customHeight="1"/>
    <row r="402" ht="16.05" customHeight="1"/>
    <row r="403" ht="16.05" customHeight="1"/>
    <row r="404" ht="16.05" customHeight="1"/>
    <row r="405" ht="16.05" customHeight="1"/>
    <row r="406" ht="16.05" customHeight="1"/>
    <row r="407" ht="16.05" customHeight="1"/>
    <row r="408" ht="16.05" customHeight="1"/>
    <row r="409" ht="16.05" customHeight="1"/>
    <row r="410" ht="16.05" customHeight="1"/>
    <row r="411" ht="16.05" customHeight="1"/>
    <row r="412" ht="16.05" customHeight="1"/>
    <row r="413" ht="16.05" customHeight="1"/>
    <row r="414" ht="16.05" customHeight="1"/>
    <row r="415" ht="16.05" customHeight="1"/>
    <row r="416" ht="16.05" customHeight="1"/>
    <row r="417" ht="16.05" customHeight="1"/>
    <row r="418" ht="16.05" customHeight="1"/>
    <row r="419" ht="16.05" customHeight="1"/>
    <row r="420" ht="16.05" customHeight="1"/>
    <row r="421" ht="16.05" customHeight="1"/>
    <row r="422" ht="16.05" customHeight="1"/>
    <row r="423" ht="16.05" customHeight="1"/>
    <row r="424" ht="16.05" customHeight="1"/>
    <row r="425" ht="16.05" customHeight="1"/>
    <row r="426" ht="16.05" customHeight="1"/>
    <row r="427" ht="16.05" customHeight="1"/>
    <row r="428" ht="16.05" customHeight="1"/>
    <row r="429" ht="16.05" customHeight="1"/>
    <row r="430" ht="16.05" customHeight="1"/>
    <row r="431" ht="16.05" customHeight="1"/>
    <row r="432" ht="16.05" customHeight="1"/>
    <row r="433" ht="16.05" customHeight="1"/>
    <row r="434" ht="16.05" customHeight="1"/>
    <row r="435" ht="16.05" customHeight="1"/>
    <row r="436" ht="16.05" customHeight="1"/>
    <row r="437" ht="16.05" customHeight="1"/>
    <row r="438" ht="16.05" customHeight="1"/>
    <row r="439" ht="16.05" customHeight="1"/>
    <row r="440" ht="16.05" customHeight="1"/>
    <row r="441" ht="16.05" customHeight="1"/>
    <row r="442" ht="16.05" customHeight="1"/>
    <row r="443" ht="16.05" customHeight="1"/>
    <row r="444" ht="16.05" customHeight="1"/>
    <row r="445" ht="16.05" customHeight="1"/>
    <row r="446" ht="16.05" customHeight="1"/>
    <row r="447" ht="16.05" customHeight="1"/>
    <row r="448" ht="16.05" customHeight="1"/>
    <row r="449" ht="16.05" customHeight="1"/>
    <row r="450" ht="16.05" customHeight="1"/>
    <row r="451" ht="16.05" customHeight="1"/>
    <row r="452" ht="16.05" customHeight="1"/>
    <row r="453" ht="16.05" customHeight="1"/>
    <row r="454" ht="16.05" customHeight="1"/>
    <row r="455" ht="16.05" customHeight="1"/>
    <row r="456" ht="16.05" customHeight="1"/>
    <row r="457" ht="16.05" customHeight="1"/>
    <row r="458" ht="16.05" customHeight="1"/>
    <row r="459" ht="16.05" customHeight="1"/>
    <row r="460" ht="16.05" customHeight="1"/>
    <row r="461" ht="16.05" customHeight="1"/>
    <row r="462" ht="16.05" customHeight="1"/>
    <row r="463" ht="16.05" customHeight="1"/>
    <row r="464" ht="16.05" customHeight="1"/>
    <row r="465" ht="16.05" customHeight="1"/>
    <row r="466" ht="16.05" customHeight="1"/>
    <row r="467" ht="16.05" customHeight="1"/>
    <row r="468" ht="16.05" customHeight="1"/>
    <row r="469" ht="16.05" customHeight="1"/>
    <row r="470" ht="16.05" customHeight="1"/>
    <row r="471" ht="16.05" customHeight="1"/>
    <row r="472" ht="16.05" customHeight="1"/>
    <row r="473" ht="16.05" customHeight="1"/>
    <row r="474" ht="16.05" customHeight="1"/>
    <row r="475" ht="16.05" customHeight="1"/>
    <row r="476" ht="16.05" customHeight="1"/>
    <row r="477" ht="16.05" customHeight="1"/>
    <row r="478" ht="16.05" customHeight="1"/>
    <row r="479" ht="16.05" customHeight="1"/>
    <row r="480" ht="16.05" customHeight="1"/>
    <row r="481" ht="16.05" customHeight="1"/>
    <row r="482" ht="16.05" customHeight="1"/>
    <row r="483" ht="16.05" customHeight="1"/>
    <row r="484" ht="16.05" customHeight="1"/>
    <row r="485" ht="16.05" customHeight="1"/>
    <row r="486" ht="16.05" customHeight="1"/>
    <row r="487" ht="16.05" customHeight="1"/>
    <row r="488" ht="16.05" customHeight="1"/>
    <row r="489" ht="16.05" customHeight="1"/>
    <row r="490" ht="16.05" customHeight="1"/>
    <row r="491" ht="16.05" customHeight="1"/>
    <row r="492" ht="16.05" customHeight="1"/>
    <row r="493" ht="16.05" customHeight="1"/>
    <row r="494" ht="16.05" customHeight="1"/>
    <row r="495" ht="16.05" customHeight="1"/>
    <row r="496" ht="16.05" customHeight="1"/>
    <row r="497" ht="16.05" customHeight="1"/>
    <row r="498" ht="16.05" customHeight="1"/>
    <row r="499" ht="16.05" customHeight="1"/>
    <row r="500" ht="16.05" customHeight="1"/>
  </sheetData>
  <conditionalFormatting sqref="L2:L148">
    <cfRule type="expression" dxfId="3" priority="1">
      <formula>L2="Yes"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0"/>
  <sheetViews>
    <sheetView workbookViewId="0"/>
  </sheetViews>
  <sheetFormatPr defaultRowHeight="13.8"/>
  <cols>
    <col min="1" max="1" width="28" customWidth="1"/>
    <col min="2" max="2" width="22" customWidth="1"/>
    <col min="3" max="3" width="18" customWidth="1"/>
    <col min="4" max="6" width="14" customWidth="1"/>
    <col min="7" max="7" width="38" customWidth="1"/>
    <col min="8" max="8" width="18" customWidth="1"/>
    <col min="9" max="12" width="16" customWidth="1"/>
    <col min="13" max="13" width="36" customWidth="1"/>
  </cols>
  <sheetData>
    <row r="1" spans="1:13" ht="16.05" customHeight="1">
      <c r="A1" s="3" t="s">
        <v>64</v>
      </c>
      <c r="B1" s="3" t="s">
        <v>63</v>
      </c>
      <c r="C1" s="3" t="s">
        <v>24</v>
      </c>
      <c r="D1" s="3" t="s">
        <v>67</v>
      </c>
      <c r="E1" s="3" t="s">
        <v>71</v>
      </c>
      <c r="F1" s="3" t="s">
        <v>73</v>
      </c>
      <c r="G1" s="3" t="s">
        <v>46</v>
      </c>
      <c r="H1" s="3" t="s">
        <v>48</v>
      </c>
      <c r="I1" s="3" t="s">
        <v>834</v>
      </c>
      <c r="J1" s="3" t="s">
        <v>835</v>
      </c>
      <c r="K1" s="3" t="s">
        <v>39</v>
      </c>
      <c r="L1" s="3" t="s">
        <v>836</v>
      </c>
      <c r="M1" s="3" t="s">
        <v>74</v>
      </c>
    </row>
    <row r="2" spans="1:13" ht="16.05" customHeight="1">
      <c r="A2" t="s">
        <v>78</v>
      </c>
      <c r="B2" t="s">
        <v>77</v>
      </c>
      <c r="C2" t="s">
        <v>31</v>
      </c>
      <c r="D2" t="s">
        <v>80</v>
      </c>
      <c r="E2" t="s">
        <v>82</v>
      </c>
      <c r="F2" t="s">
        <v>84</v>
      </c>
      <c r="G2" t="s">
        <v>40</v>
      </c>
      <c r="H2" t="s">
        <v>51</v>
      </c>
      <c r="I2" s="4">
        <f>IFERROR(VLOOKUP(G2,SKU_Cost_Input!$A$2:$E$15,4,FALSE),0)</f>
        <v>0</v>
      </c>
      <c r="J2" s="4">
        <f>IFERROR(VLOOKUP(G2,SKU_Cost_Input!$A$2:$E$15,2,FALSE),0)</f>
        <v>130</v>
      </c>
      <c r="K2" s="4">
        <f t="shared" ref="K2:K65" si="0">IF(J2=0,0,I2/J2)</f>
        <v>0</v>
      </c>
      <c r="L2" s="4">
        <f t="shared" ref="L2:L65" si="1">K2</f>
        <v>0</v>
      </c>
      <c r="M2" t="s">
        <v>85</v>
      </c>
    </row>
    <row r="3" spans="1:13" ht="16.05" customHeight="1">
      <c r="A3" t="s">
        <v>78</v>
      </c>
      <c r="B3" t="s">
        <v>77</v>
      </c>
      <c r="C3" t="s">
        <v>31</v>
      </c>
      <c r="D3" t="s">
        <v>80</v>
      </c>
      <c r="E3" t="s">
        <v>82</v>
      </c>
      <c r="F3" t="s">
        <v>84</v>
      </c>
      <c r="G3" t="s">
        <v>41</v>
      </c>
      <c r="H3" t="s">
        <v>53</v>
      </c>
      <c r="I3" s="4">
        <f>IFERROR(VLOOKUP(G3,SKU_Cost_Input!$A$2:$E$15,4,FALSE),0)</f>
        <v>0</v>
      </c>
      <c r="J3" s="4">
        <f>IFERROR(VLOOKUP(G3,SKU_Cost_Input!$A$2:$E$15,2,FALSE),0)</f>
        <v>100</v>
      </c>
      <c r="K3" s="4">
        <f t="shared" si="0"/>
        <v>0</v>
      </c>
      <c r="L3" s="4">
        <f t="shared" si="1"/>
        <v>0</v>
      </c>
      <c r="M3" t="s">
        <v>85</v>
      </c>
    </row>
    <row r="4" spans="1:13" ht="16.05" customHeight="1">
      <c r="A4" t="s">
        <v>88</v>
      </c>
      <c r="B4" t="s">
        <v>87</v>
      </c>
      <c r="C4" t="s">
        <v>31</v>
      </c>
      <c r="D4" t="s">
        <v>90</v>
      </c>
      <c r="E4" t="s">
        <v>82</v>
      </c>
      <c r="F4" t="s">
        <v>84</v>
      </c>
      <c r="G4" t="s">
        <v>40</v>
      </c>
      <c r="H4" t="s">
        <v>51</v>
      </c>
      <c r="I4" s="4">
        <f>IFERROR(VLOOKUP(G4,SKU_Cost_Input!$A$2:$E$15,4,FALSE),0)</f>
        <v>0</v>
      </c>
      <c r="J4" s="4">
        <f>IFERROR(VLOOKUP(G4,SKU_Cost_Input!$A$2:$E$15,2,FALSE),0)</f>
        <v>130</v>
      </c>
      <c r="K4" s="4">
        <f t="shared" si="0"/>
        <v>0</v>
      </c>
      <c r="L4" s="4">
        <f t="shared" si="1"/>
        <v>0</v>
      </c>
      <c r="M4" t="s">
        <v>85</v>
      </c>
    </row>
    <row r="5" spans="1:13" ht="16.05" customHeight="1">
      <c r="A5" t="s">
        <v>88</v>
      </c>
      <c r="B5" t="s">
        <v>87</v>
      </c>
      <c r="C5" t="s">
        <v>31</v>
      </c>
      <c r="D5" t="s">
        <v>90</v>
      </c>
      <c r="E5" t="s">
        <v>82</v>
      </c>
      <c r="F5" t="s">
        <v>84</v>
      </c>
      <c r="G5" t="s">
        <v>41</v>
      </c>
      <c r="H5" t="s">
        <v>53</v>
      </c>
      <c r="I5" s="4">
        <f>IFERROR(VLOOKUP(G5,SKU_Cost_Input!$A$2:$E$15,4,FALSE),0)</f>
        <v>0</v>
      </c>
      <c r="J5" s="4">
        <f>IFERROR(VLOOKUP(G5,SKU_Cost_Input!$A$2:$E$15,2,FALSE),0)</f>
        <v>100</v>
      </c>
      <c r="K5" s="4">
        <f t="shared" si="0"/>
        <v>0</v>
      </c>
      <c r="L5" s="4">
        <f t="shared" si="1"/>
        <v>0</v>
      </c>
      <c r="M5" t="s">
        <v>85</v>
      </c>
    </row>
    <row r="6" spans="1:13" ht="16.05" customHeight="1">
      <c r="A6" t="s">
        <v>93</v>
      </c>
      <c r="B6" t="s">
        <v>92</v>
      </c>
      <c r="C6" t="s">
        <v>31</v>
      </c>
      <c r="D6" t="s">
        <v>94</v>
      </c>
      <c r="E6" t="s">
        <v>82</v>
      </c>
      <c r="F6" t="s">
        <v>84</v>
      </c>
      <c r="G6" t="s">
        <v>40</v>
      </c>
      <c r="H6" t="s">
        <v>51</v>
      </c>
      <c r="I6" s="4">
        <f>IFERROR(VLOOKUP(G6,SKU_Cost_Input!$A$2:$E$15,4,FALSE),0)</f>
        <v>0</v>
      </c>
      <c r="J6" s="4">
        <f>IFERROR(VLOOKUP(G6,SKU_Cost_Input!$A$2:$E$15,2,FALSE),0)</f>
        <v>130</v>
      </c>
      <c r="K6" s="4">
        <f t="shared" si="0"/>
        <v>0</v>
      </c>
      <c r="L6" s="4">
        <f t="shared" si="1"/>
        <v>0</v>
      </c>
      <c r="M6" t="s">
        <v>85</v>
      </c>
    </row>
    <row r="7" spans="1:13" ht="16.05" customHeight="1">
      <c r="A7" t="s">
        <v>93</v>
      </c>
      <c r="B7" t="s">
        <v>92</v>
      </c>
      <c r="C7" t="s">
        <v>31</v>
      </c>
      <c r="D7" t="s">
        <v>94</v>
      </c>
      <c r="E7" t="s">
        <v>82</v>
      </c>
      <c r="F7" t="s">
        <v>84</v>
      </c>
      <c r="G7" t="s">
        <v>42</v>
      </c>
      <c r="H7" t="s">
        <v>54</v>
      </c>
      <c r="I7" s="4">
        <f>IFERROR(VLOOKUP(G7,SKU_Cost_Input!$A$2:$E$15,4,FALSE),0)</f>
        <v>0</v>
      </c>
      <c r="J7" s="4">
        <f>IFERROR(VLOOKUP(G7,SKU_Cost_Input!$A$2:$E$15,2,FALSE),0)</f>
        <v>52</v>
      </c>
      <c r="K7" s="4">
        <f t="shared" si="0"/>
        <v>0</v>
      </c>
      <c r="L7" s="4">
        <f t="shared" si="1"/>
        <v>0</v>
      </c>
      <c r="M7" t="s">
        <v>85</v>
      </c>
    </row>
    <row r="8" spans="1:13" ht="16.05" customHeight="1">
      <c r="A8" t="s">
        <v>93</v>
      </c>
      <c r="B8" t="s">
        <v>92</v>
      </c>
      <c r="C8" t="s">
        <v>31</v>
      </c>
      <c r="D8" t="s">
        <v>94</v>
      </c>
      <c r="E8" t="s">
        <v>82</v>
      </c>
      <c r="F8" t="s">
        <v>84</v>
      </c>
      <c r="G8" t="s">
        <v>41</v>
      </c>
      <c r="H8" t="s">
        <v>53</v>
      </c>
      <c r="I8" s="4">
        <f>IFERROR(VLOOKUP(G8,SKU_Cost_Input!$A$2:$E$15,4,FALSE),0)</f>
        <v>0</v>
      </c>
      <c r="J8" s="4">
        <f>IFERROR(VLOOKUP(G8,SKU_Cost_Input!$A$2:$E$15,2,FALSE),0)</f>
        <v>100</v>
      </c>
      <c r="K8" s="4">
        <f t="shared" si="0"/>
        <v>0</v>
      </c>
      <c r="L8" s="4">
        <f t="shared" si="1"/>
        <v>0</v>
      </c>
      <c r="M8" t="s">
        <v>85</v>
      </c>
    </row>
    <row r="9" spans="1:13" ht="16.05" customHeight="1">
      <c r="A9" t="s">
        <v>98</v>
      </c>
      <c r="B9" t="s">
        <v>97</v>
      </c>
      <c r="C9" t="s">
        <v>31</v>
      </c>
      <c r="D9" t="s">
        <v>101</v>
      </c>
      <c r="E9" t="s">
        <v>82</v>
      </c>
      <c r="F9" t="s">
        <v>84</v>
      </c>
      <c r="G9" t="s">
        <v>40</v>
      </c>
      <c r="H9" t="s">
        <v>51</v>
      </c>
      <c r="I9" s="4">
        <f>IFERROR(VLOOKUP(G9,SKU_Cost_Input!$A$2:$E$15,4,FALSE),0)</f>
        <v>0</v>
      </c>
      <c r="J9" s="4">
        <f>IFERROR(VLOOKUP(G9,SKU_Cost_Input!$A$2:$E$15,2,FALSE),0)</f>
        <v>130</v>
      </c>
      <c r="K9" s="4">
        <f t="shared" si="0"/>
        <v>0</v>
      </c>
      <c r="L9" s="4">
        <f t="shared" si="1"/>
        <v>0</v>
      </c>
      <c r="M9" t="s">
        <v>85</v>
      </c>
    </row>
    <row r="10" spans="1:13" ht="16.05" customHeight="1">
      <c r="A10" t="s">
        <v>98</v>
      </c>
      <c r="B10" t="s">
        <v>97</v>
      </c>
      <c r="C10" t="s">
        <v>31</v>
      </c>
      <c r="D10" t="s">
        <v>101</v>
      </c>
      <c r="E10" t="s">
        <v>82</v>
      </c>
      <c r="F10" t="s">
        <v>84</v>
      </c>
      <c r="G10" t="s">
        <v>41</v>
      </c>
      <c r="H10" t="s">
        <v>53</v>
      </c>
      <c r="I10" s="4">
        <f>IFERROR(VLOOKUP(G10,SKU_Cost_Input!$A$2:$E$15,4,FALSE),0)</f>
        <v>0</v>
      </c>
      <c r="J10" s="4">
        <f>IFERROR(VLOOKUP(G10,SKU_Cost_Input!$A$2:$E$15,2,FALSE),0)</f>
        <v>100</v>
      </c>
      <c r="K10" s="4">
        <f t="shared" si="0"/>
        <v>0</v>
      </c>
      <c r="L10" s="4">
        <f t="shared" si="1"/>
        <v>0</v>
      </c>
      <c r="M10" t="s">
        <v>85</v>
      </c>
    </row>
    <row r="11" spans="1:13" ht="16.05" customHeight="1">
      <c r="A11" t="s">
        <v>104</v>
      </c>
      <c r="B11" t="s">
        <v>103</v>
      </c>
      <c r="C11" t="s">
        <v>31</v>
      </c>
      <c r="D11" t="s">
        <v>105</v>
      </c>
      <c r="E11" t="s">
        <v>82</v>
      </c>
      <c r="F11" t="s">
        <v>84</v>
      </c>
      <c r="G11" t="s">
        <v>40</v>
      </c>
      <c r="H11" t="s">
        <v>51</v>
      </c>
      <c r="I11" s="4">
        <f>IFERROR(VLOOKUP(G11,SKU_Cost_Input!$A$2:$E$15,4,FALSE),0)</f>
        <v>0</v>
      </c>
      <c r="J11" s="4">
        <f>IFERROR(VLOOKUP(G11,SKU_Cost_Input!$A$2:$E$15,2,FALSE),0)</f>
        <v>130</v>
      </c>
      <c r="K11" s="4">
        <f t="shared" si="0"/>
        <v>0</v>
      </c>
      <c r="L11" s="4">
        <f t="shared" si="1"/>
        <v>0</v>
      </c>
      <c r="M11" t="s">
        <v>85</v>
      </c>
    </row>
    <row r="12" spans="1:13" ht="16.05" customHeight="1">
      <c r="A12" t="s">
        <v>104</v>
      </c>
      <c r="B12" t="s">
        <v>103</v>
      </c>
      <c r="C12" t="s">
        <v>31</v>
      </c>
      <c r="D12" t="s">
        <v>105</v>
      </c>
      <c r="E12" t="s">
        <v>82</v>
      </c>
      <c r="F12" t="s">
        <v>84</v>
      </c>
      <c r="G12" t="s">
        <v>41</v>
      </c>
      <c r="H12" t="s">
        <v>53</v>
      </c>
      <c r="I12" s="4">
        <f>IFERROR(VLOOKUP(G12,SKU_Cost_Input!$A$2:$E$15,4,FALSE),0)</f>
        <v>0</v>
      </c>
      <c r="J12" s="4">
        <f>IFERROR(VLOOKUP(G12,SKU_Cost_Input!$A$2:$E$15,2,FALSE),0)</f>
        <v>100</v>
      </c>
      <c r="K12" s="4">
        <f t="shared" si="0"/>
        <v>0</v>
      </c>
      <c r="L12" s="4">
        <f t="shared" si="1"/>
        <v>0</v>
      </c>
      <c r="M12" t="s">
        <v>85</v>
      </c>
    </row>
    <row r="13" spans="1:13" ht="16.05" customHeight="1">
      <c r="A13" t="s">
        <v>108</v>
      </c>
      <c r="B13" t="s">
        <v>107</v>
      </c>
      <c r="C13" t="s">
        <v>31</v>
      </c>
      <c r="D13" t="s">
        <v>110</v>
      </c>
      <c r="E13" t="s">
        <v>82</v>
      </c>
      <c r="F13" t="s">
        <v>84</v>
      </c>
      <c r="G13" t="s">
        <v>40</v>
      </c>
      <c r="H13" t="s">
        <v>51</v>
      </c>
      <c r="I13" s="4">
        <f>IFERROR(VLOOKUP(G13,SKU_Cost_Input!$A$2:$E$15,4,FALSE),0)</f>
        <v>0</v>
      </c>
      <c r="J13" s="4">
        <f>IFERROR(VLOOKUP(G13,SKU_Cost_Input!$A$2:$E$15,2,FALSE),0)</f>
        <v>130</v>
      </c>
      <c r="K13" s="4">
        <f t="shared" si="0"/>
        <v>0</v>
      </c>
      <c r="L13" s="4">
        <f t="shared" si="1"/>
        <v>0</v>
      </c>
      <c r="M13" t="s">
        <v>113</v>
      </c>
    </row>
    <row r="14" spans="1:13" ht="16.05" customHeight="1">
      <c r="A14" t="s">
        <v>108</v>
      </c>
      <c r="B14" t="s">
        <v>107</v>
      </c>
      <c r="C14" t="s">
        <v>31</v>
      </c>
      <c r="D14" t="s">
        <v>110</v>
      </c>
      <c r="E14" t="s">
        <v>82</v>
      </c>
      <c r="F14" t="s">
        <v>84</v>
      </c>
      <c r="G14" t="s">
        <v>44</v>
      </c>
      <c r="H14" t="s">
        <v>53</v>
      </c>
      <c r="I14" s="4">
        <f>IFERROR(VLOOKUP(G14,SKU_Cost_Input!$A$2:$E$15,4,FALSE),0)</f>
        <v>0</v>
      </c>
      <c r="J14" s="4">
        <f>IFERROR(VLOOKUP(G14,SKU_Cost_Input!$A$2:$E$15,2,FALSE),0)</f>
        <v>21</v>
      </c>
      <c r="K14" s="4">
        <f t="shared" si="0"/>
        <v>0</v>
      </c>
      <c r="L14" s="4">
        <f t="shared" si="1"/>
        <v>0</v>
      </c>
      <c r="M14" t="s">
        <v>113</v>
      </c>
    </row>
    <row r="15" spans="1:13" ht="16.05" customHeight="1">
      <c r="A15" t="s">
        <v>116</v>
      </c>
      <c r="B15" t="s">
        <v>115</v>
      </c>
      <c r="C15" t="s">
        <v>31</v>
      </c>
      <c r="D15" t="s">
        <v>118</v>
      </c>
      <c r="E15" t="s">
        <v>82</v>
      </c>
      <c r="F15" t="s">
        <v>84</v>
      </c>
      <c r="G15" t="s">
        <v>40</v>
      </c>
      <c r="H15" t="s">
        <v>51</v>
      </c>
      <c r="I15" s="4">
        <f>IFERROR(VLOOKUP(G15,SKU_Cost_Input!$A$2:$E$15,4,FALSE),0)</f>
        <v>0</v>
      </c>
      <c r="J15" s="4">
        <f>IFERROR(VLOOKUP(G15,SKU_Cost_Input!$A$2:$E$15,2,FALSE),0)</f>
        <v>130</v>
      </c>
      <c r="K15" s="4">
        <f t="shared" si="0"/>
        <v>0</v>
      </c>
      <c r="L15" s="4">
        <f t="shared" si="1"/>
        <v>0</v>
      </c>
      <c r="M15" t="s">
        <v>113</v>
      </c>
    </row>
    <row r="16" spans="1:13" ht="16.05" customHeight="1">
      <c r="A16" t="s">
        <v>116</v>
      </c>
      <c r="B16" t="s">
        <v>115</v>
      </c>
      <c r="C16" t="s">
        <v>31</v>
      </c>
      <c r="D16" t="s">
        <v>118</v>
      </c>
      <c r="E16" t="s">
        <v>82</v>
      </c>
      <c r="F16" t="s">
        <v>84</v>
      </c>
      <c r="G16" t="s">
        <v>44</v>
      </c>
      <c r="H16" t="s">
        <v>53</v>
      </c>
      <c r="I16" s="4">
        <f>IFERROR(VLOOKUP(G16,SKU_Cost_Input!$A$2:$E$15,4,FALSE),0)</f>
        <v>0</v>
      </c>
      <c r="J16" s="4">
        <f>IFERROR(VLOOKUP(G16,SKU_Cost_Input!$A$2:$E$15,2,FALSE),0)</f>
        <v>21</v>
      </c>
      <c r="K16" s="4">
        <f t="shared" si="0"/>
        <v>0</v>
      </c>
      <c r="L16" s="4">
        <f t="shared" si="1"/>
        <v>0</v>
      </c>
      <c r="M16" t="s">
        <v>113</v>
      </c>
    </row>
    <row r="17" spans="1:13" ht="16.05" customHeight="1">
      <c r="A17" t="s">
        <v>121</v>
      </c>
      <c r="B17" t="s">
        <v>120</v>
      </c>
      <c r="C17" t="s">
        <v>31</v>
      </c>
      <c r="D17" t="s">
        <v>124</v>
      </c>
      <c r="E17" t="s">
        <v>82</v>
      </c>
      <c r="F17" t="s">
        <v>84</v>
      </c>
      <c r="G17" t="s">
        <v>40</v>
      </c>
      <c r="H17" t="s">
        <v>51</v>
      </c>
      <c r="I17" s="4">
        <f>IFERROR(VLOOKUP(G17,SKU_Cost_Input!$A$2:$E$15,4,FALSE),0)</f>
        <v>0</v>
      </c>
      <c r="J17" s="4">
        <f>IFERROR(VLOOKUP(G17,SKU_Cost_Input!$A$2:$E$15,2,FALSE),0)</f>
        <v>130</v>
      </c>
      <c r="K17" s="4">
        <f t="shared" si="0"/>
        <v>0</v>
      </c>
      <c r="L17" s="4">
        <f t="shared" si="1"/>
        <v>0</v>
      </c>
      <c r="M17" t="s">
        <v>126</v>
      </c>
    </row>
    <row r="18" spans="1:13" ht="16.05" customHeight="1">
      <c r="A18" t="s">
        <v>121</v>
      </c>
      <c r="B18" t="s">
        <v>120</v>
      </c>
      <c r="C18" t="s">
        <v>31</v>
      </c>
      <c r="D18" t="s">
        <v>124</v>
      </c>
      <c r="E18" t="s">
        <v>82</v>
      </c>
      <c r="F18" t="s">
        <v>84</v>
      </c>
      <c r="G18" t="s">
        <v>44</v>
      </c>
      <c r="H18" t="s">
        <v>53</v>
      </c>
      <c r="I18" s="4">
        <f>IFERROR(VLOOKUP(G18,SKU_Cost_Input!$A$2:$E$15,4,FALSE),0)</f>
        <v>0</v>
      </c>
      <c r="J18" s="4">
        <f>IFERROR(VLOOKUP(G18,SKU_Cost_Input!$A$2:$E$15,2,FALSE),0)</f>
        <v>21</v>
      </c>
      <c r="K18" s="4">
        <f t="shared" si="0"/>
        <v>0</v>
      </c>
      <c r="L18" s="4">
        <f t="shared" si="1"/>
        <v>0</v>
      </c>
      <c r="M18" t="s">
        <v>126</v>
      </c>
    </row>
    <row r="19" spans="1:13" ht="16.05" customHeight="1">
      <c r="A19" t="s">
        <v>128</v>
      </c>
      <c r="B19" t="s">
        <v>127</v>
      </c>
      <c r="C19" t="s">
        <v>31</v>
      </c>
      <c r="D19" t="s">
        <v>130</v>
      </c>
      <c r="E19" t="s">
        <v>82</v>
      </c>
      <c r="F19" t="s">
        <v>84</v>
      </c>
      <c r="G19" t="s">
        <v>40</v>
      </c>
      <c r="H19" t="s">
        <v>51</v>
      </c>
      <c r="I19" s="4">
        <f>IFERROR(VLOOKUP(G19,SKU_Cost_Input!$A$2:$E$15,4,FALSE),0)</f>
        <v>0</v>
      </c>
      <c r="J19" s="4">
        <f>IFERROR(VLOOKUP(G19,SKU_Cost_Input!$A$2:$E$15,2,FALSE),0)</f>
        <v>130</v>
      </c>
      <c r="K19" s="4">
        <f t="shared" si="0"/>
        <v>0</v>
      </c>
      <c r="L19" s="4">
        <f t="shared" si="1"/>
        <v>0</v>
      </c>
      <c r="M19" t="s">
        <v>85</v>
      </c>
    </row>
    <row r="20" spans="1:13" ht="16.05" customHeight="1">
      <c r="A20" t="s">
        <v>128</v>
      </c>
      <c r="B20" t="s">
        <v>127</v>
      </c>
      <c r="C20" t="s">
        <v>31</v>
      </c>
      <c r="D20" t="s">
        <v>130</v>
      </c>
      <c r="E20" t="s">
        <v>82</v>
      </c>
      <c r="F20" t="s">
        <v>84</v>
      </c>
      <c r="G20" t="s">
        <v>42</v>
      </c>
      <c r="H20" t="s">
        <v>54</v>
      </c>
      <c r="I20" s="4">
        <f>IFERROR(VLOOKUP(G20,SKU_Cost_Input!$A$2:$E$15,4,FALSE),0)</f>
        <v>0</v>
      </c>
      <c r="J20" s="4">
        <f>IFERROR(VLOOKUP(G20,SKU_Cost_Input!$A$2:$E$15,2,FALSE),0)</f>
        <v>52</v>
      </c>
      <c r="K20" s="4">
        <f t="shared" si="0"/>
        <v>0</v>
      </c>
      <c r="L20" s="4">
        <f t="shared" si="1"/>
        <v>0</v>
      </c>
      <c r="M20" t="s">
        <v>85</v>
      </c>
    </row>
    <row r="21" spans="1:13" ht="16.05" customHeight="1">
      <c r="A21" t="s">
        <v>128</v>
      </c>
      <c r="B21" t="s">
        <v>127</v>
      </c>
      <c r="C21" t="s">
        <v>31</v>
      </c>
      <c r="D21" t="s">
        <v>130</v>
      </c>
      <c r="E21" t="s">
        <v>82</v>
      </c>
      <c r="F21" t="s">
        <v>84</v>
      </c>
      <c r="G21" t="s">
        <v>41</v>
      </c>
      <c r="H21" t="s">
        <v>53</v>
      </c>
      <c r="I21" s="4">
        <f>IFERROR(VLOOKUP(G21,SKU_Cost_Input!$A$2:$E$15,4,FALSE),0)</f>
        <v>0</v>
      </c>
      <c r="J21" s="4">
        <f>IFERROR(VLOOKUP(G21,SKU_Cost_Input!$A$2:$E$15,2,FALSE),0)</f>
        <v>100</v>
      </c>
      <c r="K21" s="4">
        <f t="shared" si="0"/>
        <v>0</v>
      </c>
      <c r="L21" s="4">
        <f t="shared" si="1"/>
        <v>0</v>
      </c>
      <c r="M21" t="s">
        <v>85</v>
      </c>
    </row>
    <row r="22" spans="1:13" ht="16.05" customHeight="1">
      <c r="A22" t="s">
        <v>133</v>
      </c>
      <c r="B22" t="s">
        <v>132</v>
      </c>
      <c r="C22" t="s">
        <v>31</v>
      </c>
      <c r="D22" t="s">
        <v>135</v>
      </c>
      <c r="E22" t="s">
        <v>82</v>
      </c>
      <c r="F22" t="s">
        <v>84</v>
      </c>
      <c r="G22" t="s">
        <v>40</v>
      </c>
      <c r="H22" t="s">
        <v>51</v>
      </c>
      <c r="I22" s="4">
        <f>IFERROR(VLOOKUP(G22,SKU_Cost_Input!$A$2:$E$15,4,FALSE),0)</f>
        <v>0</v>
      </c>
      <c r="J22" s="4">
        <f>IFERROR(VLOOKUP(G22,SKU_Cost_Input!$A$2:$E$15,2,FALSE),0)</f>
        <v>130</v>
      </c>
      <c r="K22" s="4">
        <f t="shared" si="0"/>
        <v>0</v>
      </c>
      <c r="L22" s="4">
        <f t="shared" si="1"/>
        <v>0</v>
      </c>
      <c r="M22" t="s">
        <v>85</v>
      </c>
    </row>
    <row r="23" spans="1:13" ht="16.05" customHeight="1">
      <c r="A23" t="s">
        <v>133</v>
      </c>
      <c r="B23" t="s">
        <v>132</v>
      </c>
      <c r="C23" t="s">
        <v>31</v>
      </c>
      <c r="D23" t="s">
        <v>135</v>
      </c>
      <c r="E23" t="s">
        <v>82</v>
      </c>
      <c r="F23" t="s">
        <v>84</v>
      </c>
      <c r="G23" t="s">
        <v>41</v>
      </c>
      <c r="H23" t="s">
        <v>53</v>
      </c>
      <c r="I23" s="4">
        <f>IFERROR(VLOOKUP(G23,SKU_Cost_Input!$A$2:$E$15,4,FALSE),0)</f>
        <v>0</v>
      </c>
      <c r="J23" s="4">
        <f>IFERROR(VLOOKUP(G23,SKU_Cost_Input!$A$2:$E$15,2,FALSE),0)</f>
        <v>100</v>
      </c>
      <c r="K23" s="4">
        <f t="shared" si="0"/>
        <v>0</v>
      </c>
      <c r="L23" s="4">
        <f t="shared" si="1"/>
        <v>0</v>
      </c>
      <c r="M23" t="s">
        <v>85</v>
      </c>
    </row>
    <row r="24" spans="1:13" ht="16.05" customHeight="1">
      <c r="A24" t="s">
        <v>138</v>
      </c>
      <c r="B24" t="s">
        <v>137</v>
      </c>
      <c r="C24" t="s">
        <v>31</v>
      </c>
      <c r="D24" t="s">
        <v>141</v>
      </c>
      <c r="E24" t="s">
        <v>82</v>
      </c>
      <c r="F24" t="s">
        <v>84</v>
      </c>
      <c r="G24" t="s">
        <v>40</v>
      </c>
      <c r="H24" t="s">
        <v>51</v>
      </c>
      <c r="I24" s="4">
        <f>IFERROR(VLOOKUP(G24,SKU_Cost_Input!$A$2:$E$15,4,FALSE),0)</f>
        <v>0</v>
      </c>
      <c r="J24" s="4">
        <f>IFERROR(VLOOKUP(G24,SKU_Cost_Input!$A$2:$E$15,2,FALSE),0)</f>
        <v>130</v>
      </c>
      <c r="K24" s="4">
        <f t="shared" si="0"/>
        <v>0</v>
      </c>
      <c r="L24" s="4">
        <f t="shared" si="1"/>
        <v>0</v>
      </c>
      <c r="M24" t="s">
        <v>85</v>
      </c>
    </row>
    <row r="25" spans="1:13" ht="16.05" customHeight="1">
      <c r="A25" t="s">
        <v>138</v>
      </c>
      <c r="B25" t="s">
        <v>137</v>
      </c>
      <c r="C25" t="s">
        <v>31</v>
      </c>
      <c r="D25" t="s">
        <v>141</v>
      </c>
      <c r="E25" t="s">
        <v>82</v>
      </c>
      <c r="F25" t="s">
        <v>84</v>
      </c>
      <c r="G25" t="s">
        <v>41</v>
      </c>
      <c r="H25" t="s">
        <v>53</v>
      </c>
      <c r="I25" s="4">
        <f>IFERROR(VLOOKUP(G25,SKU_Cost_Input!$A$2:$E$15,4,FALSE),0)</f>
        <v>0</v>
      </c>
      <c r="J25" s="4">
        <f>IFERROR(VLOOKUP(G25,SKU_Cost_Input!$A$2:$E$15,2,FALSE),0)</f>
        <v>100</v>
      </c>
      <c r="K25" s="4">
        <f t="shared" si="0"/>
        <v>0</v>
      </c>
      <c r="L25" s="4">
        <f t="shared" si="1"/>
        <v>0</v>
      </c>
      <c r="M25" t="s">
        <v>85</v>
      </c>
    </row>
    <row r="26" spans="1:13" ht="16.05" customHeight="1">
      <c r="A26" t="s">
        <v>144</v>
      </c>
      <c r="B26" t="s">
        <v>143</v>
      </c>
      <c r="C26" t="s">
        <v>31</v>
      </c>
      <c r="D26" t="s">
        <v>147</v>
      </c>
      <c r="E26" t="s">
        <v>82</v>
      </c>
      <c r="F26" t="s">
        <v>84</v>
      </c>
      <c r="G26" t="s">
        <v>40</v>
      </c>
      <c r="H26" t="s">
        <v>51</v>
      </c>
      <c r="I26" s="4">
        <f>IFERROR(VLOOKUP(G26,SKU_Cost_Input!$A$2:$E$15,4,FALSE),0)</f>
        <v>0</v>
      </c>
      <c r="J26" s="4">
        <f>IFERROR(VLOOKUP(G26,SKU_Cost_Input!$A$2:$E$15,2,FALSE),0)</f>
        <v>130</v>
      </c>
      <c r="K26" s="4">
        <f t="shared" si="0"/>
        <v>0</v>
      </c>
      <c r="L26" s="4">
        <f t="shared" si="1"/>
        <v>0</v>
      </c>
      <c r="M26" t="s">
        <v>85</v>
      </c>
    </row>
    <row r="27" spans="1:13" ht="16.05" customHeight="1">
      <c r="A27" t="s">
        <v>144</v>
      </c>
      <c r="B27" t="s">
        <v>143</v>
      </c>
      <c r="C27" t="s">
        <v>31</v>
      </c>
      <c r="D27" t="s">
        <v>147</v>
      </c>
      <c r="E27" t="s">
        <v>82</v>
      </c>
      <c r="F27" t="s">
        <v>84</v>
      </c>
      <c r="G27" t="s">
        <v>41</v>
      </c>
      <c r="H27" t="s">
        <v>53</v>
      </c>
      <c r="I27" s="4">
        <f>IFERROR(VLOOKUP(G27,SKU_Cost_Input!$A$2:$E$15,4,FALSE),0)</f>
        <v>0</v>
      </c>
      <c r="J27" s="4">
        <f>IFERROR(VLOOKUP(G27,SKU_Cost_Input!$A$2:$E$15,2,FALSE),0)</f>
        <v>100</v>
      </c>
      <c r="K27" s="4">
        <f t="shared" si="0"/>
        <v>0</v>
      </c>
      <c r="L27" s="4">
        <f t="shared" si="1"/>
        <v>0</v>
      </c>
      <c r="M27" t="s">
        <v>85</v>
      </c>
    </row>
    <row r="28" spans="1:13" ht="16.05" customHeight="1">
      <c r="A28" t="s">
        <v>150</v>
      </c>
      <c r="B28" t="s">
        <v>149</v>
      </c>
      <c r="C28" t="s">
        <v>31</v>
      </c>
      <c r="D28" t="s">
        <v>153</v>
      </c>
      <c r="E28" t="s">
        <v>82</v>
      </c>
      <c r="F28" t="s">
        <v>84</v>
      </c>
      <c r="G28" t="s">
        <v>40</v>
      </c>
      <c r="H28" t="s">
        <v>51</v>
      </c>
      <c r="I28" s="4">
        <f>IFERROR(VLOOKUP(G28,SKU_Cost_Input!$A$2:$E$15,4,FALSE),0)</f>
        <v>0</v>
      </c>
      <c r="J28" s="4">
        <f>IFERROR(VLOOKUP(G28,SKU_Cost_Input!$A$2:$E$15,2,FALSE),0)</f>
        <v>130</v>
      </c>
      <c r="K28" s="4">
        <f t="shared" si="0"/>
        <v>0</v>
      </c>
      <c r="L28" s="4">
        <f t="shared" si="1"/>
        <v>0</v>
      </c>
      <c r="M28" t="s">
        <v>126</v>
      </c>
    </row>
    <row r="29" spans="1:13" ht="16.05" customHeight="1">
      <c r="A29" t="s">
        <v>150</v>
      </c>
      <c r="B29" t="s">
        <v>149</v>
      </c>
      <c r="C29" t="s">
        <v>31</v>
      </c>
      <c r="D29" t="s">
        <v>153</v>
      </c>
      <c r="E29" t="s">
        <v>82</v>
      </c>
      <c r="F29" t="s">
        <v>84</v>
      </c>
      <c r="G29" t="s">
        <v>41</v>
      </c>
      <c r="H29" t="s">
        <v>53</v>
      </c>
      <c r="I29" s="4">
        <f>IFERROR(VLOOKUP(G29,SKU_Cost_Input!$A$2:$E$15,4,FALSE),0)</f>
        <v>0</v>
      </c>
      <c r="J29" s="4">
        <f>IFERROR(VLOOKUP(G29,SKU_Cost_Input!$A$2:$E$15,2,FALSE),0)</f>
        <v>100</v>
      </c>
      <c r="K29" s="4">
        <f t="shared" si="0"/>
        <v>0</v>
      </c>
      <c r="L29" s="4">
        <f t="shared" si="1"/>
        <v>0</v>
      </c>
      <c r="M29" t="s">
        <v>126</v>
      </c>
    </row>
    <row r="30" spans="1:13" ht="16.05" customHeight="1">
      <c r="A30" t="s">
        <v>156</v>
      </c>
      <c r="B30" t="s">
        <v>155</v>
      </c>
      <c r="C30" t="s">
        <v>31</v>
      </c>
      <c r="D30" t="s">
        <v>159</v>
      </c>
      <c r="E30" t="s">
        <v>82</v>
      </c>
      <c r="F30" t="s">
        <v>84</v>
      </c>
      <c r="G30" t="s">
        <v>42</v>
      </c>
      <c r="H30" t="s">
        <v>54</v>
      </c>
      <c r="I30" s="4">
        <f>IFERROR(VLOOKUP(G30,SKU_Cost_Input!$A$2:$E$15,4,FALSE),0)</f>
        <v>0</v>
      </c>
      <c r="J30" s="4">
        <f>IFERROR(VLOOKUP(G30,SKU_Cost_Input!$A$2:$E$15,2,FALSE),0)</f>
        <v>52</v>
      </c>
      <c r="K30" s="4">
        <f t="shared" si="0"/>
        <v>0</v>
      </c>
      <c r="L30" s="4">
        <f t="shared" si="1"/>
        <v>0</v>
      </c>
      <c r="M30" t="s">
        <v>85</v>
      </c>
    </row>
    <row r="31" spans="1:13" ht="16.05" customHeight="1">
      <c r="A31" t="s">
        <v>156</v>
      </c>
      <c r="B31" t="s">
        <v>155</v>
      </c>
      <c r="C31" t="s">
        <v>31</v>
      </c>
      <c r="D31" t="s">
        <v>159</v>
      </c>
      <c r="E31" t="s">
        <v>82</v>
      </c>
      <c r="F31" t="s">
        <v>84</v>
      </c>
      <c r="G31" t="s">
        <v>40</v>
      </c>
      <c r="H31" t="s">
        <v>51</v>
      </c>
      <c r="I31" s="4">
        <f>IFERROR(VLOOKUP(G31,SKU_Cost_Input!$A$2:$E$15,4,FALSE),0)</f>
        <v>0</v>
      </c>
      <c r="J31" s="4">
        <f>IFERROR(VLOOKUP(G31,SKU_Cost_Input!$A$2:$E$15,2,FALSE),0)</f>
        <v>130</v>
      </c>
      <c r="K31" s="4">
        <f t="shared" si="0"/>
        <v>0</v>
      </c>
      <c r="L31" s="4">
        <f t="shared" si="1"/>
        <v>0</v>
      </c>
      <c r="M31" t="s">
        <v>85</v>
      </c>
    </row>
    <row r="32" spans="1:13" ht="16.05" customHeight="1">
      <c r="A32" t="s">
        <v>156</v>
      </c>
      <c r="B32" t="s">
        <v>155</v>
      </c>
      <c r="C32" t="s">
        <v>31</v>
      </c>
      <c r="D32" t="s">
        <v>159</v>
      </c>
      <c r="E32" t="s">
        <v>82</v>
      </c>
      <c r="F32" t="s">
        <v>84</v>
      </c>
      <c r="G32" t="s">
        <v>41</v>
      </c>
      <c r="H32" t="s">
        <v>53</v>
      </c>
      <c r="I32" s="4">
        <f>IFERROR(VLOOKUP(G32,SKU_Cost_Input!$A$2:$E$15,4,FALSE),0)</f>
        <v>0</v>
      </c>
      <c r="J32" s="4">
        <f>IFERROR(VLOOKUP(G32,SKU_Cost_Input!$A$2:$E$15,2,FALSE),0)</f>
        <v>100</v>
      </c>
      <c r="K32" s="4">
        <f t="shared" si="0"/>
        <v>0</v>
      </c>
      <c r="L32" s="4">
        <f t="shared" si="1"/>
        <v>0</v>
      </c>
      <c r="M32" t="s">
        <v>85</v>
      </c>
    </row>
    <row r="33" spans="1:13" ht="16.05" customHeight="1">
      <c r="A33" t="s">
        <v>163</v>
      </c>
      <c r="B33" t="s">
        <v>162</v>
      </c>
      <c r="C33" t="s">
        <v>31</v>
      </c>
      <c r="D33" t="s">
        <v>165</v>
      </c>
      <c r="E33" t="s">
        <v>82</v>
      </c>
      <c r="F33" t="s">
        <v>84</v>
      </c>
      <c r="G33" t="s">
        <v>41</v>
      </c>
      <c r="H33" t="s">
        <v>53</v>
      </c>
      <c r="I33" s="4">
        <f>IFERROR(VLOOKUP(G33,SKU_Cost_Input!$A$2:$E$15,4,FALSE),0)</f>
        <v>0</v>
      </c>
      <c r="J33" s="4">
        <f>IFERROR(VLOOKUP(G33,SKU_Cost_Input!$A$2:$E$15,2,FALSE),0)</f>
        <v>100</v>
      </c>
      <c r="K33" s="4">
        <f t="shared" si="0"/>
        <v>0</v>
      </c>
      <c r="L33" s="4">
        <f t="shared" si="1"/>
        <v>0</v>
      </c>
      <c r="M33" t="s">
        <v>85</v>
      </c>
    </row>
    <row r="34" spans="1:13" ht="16.05" customHeight="1">
      <c r="A34" t="s">
        <v>168</v>
      </c>
      <c r="B34" t="s">
        <v>167</v>
      </c>
      <c r="C34" t="s">
        <v>31</v>
      </c>
      <c r="D34" t="s">
        <v>170</v>
      </c>
      <c r="E34" t="s">
        <v>82</v>
      </c>
      <c r="F34" t="s">
        <v>84</v>
      </c>
      <c r="G34" t="s">
        <v>40</v>
      </c>
      <c r="H34" t="s">
        <v>51</v>
      </c>
      <c r="I34" s="4">
        <f>IFERROR(VLOOKUP(G34,SKU_Cost_Input!$A$2:$E$15,4,FALSE),0)</f>
        <v>0</v>
      </c>
      <c r="J34" s="4">
        <f>IFERROR(VLOOKUP(G34,SKU_Cost_Input!$A$2:$E$15,2,FALSE),0)</f>
        <v>130</v>
      </c>
      <c r="K34" s="4">
        <f t="shared" si="0"/>
        <v>0</v>
      </c>
      <c r="L34" s="4">
        <f t="shared" si="1"/>
        <v>0</v>
      </c>
      <c r="M34" t="s">
        <v>85</v>
      </c>
    </row>
    <row r="35" spans="1:13" ht="16.05" customHeight="1">
      <c r="A35" t="s">
        <v>168</v>
      </c>
      <c r="B35" t="s">
        <v>167</v>
      </c>
      <c r="C35" t="s">
        <v>31</v>
      </c>
      <c r="D35" t="s">
        <v>170</v>
      </c>
      <c r="E35" t="s">
        <v>82</v>
      </c>
      <c r="F35" t="s">
        <v>84</v>
      </c>
      <c r="G35" t="s">
        <v>42</v>
      </c>
      <c r="H35" t="s">
        <v>54</v>
      </c>
      <c r="I35" s="4">
        <f>IFERROR(VLOOKUP(G35,SKU_Cost_Input!$A$2:$E$15,4,FALSE),0)</f>
        <v>0</v>
      </c>
      <c r="J35" s="4">
        <f>IFERROR(VLOOKUP(G35,SKU_Cost_Input!$A$2:$E$15,2,FALSE),0)</f>
        <v>52</v>
      </c>
      <c r="K35" s="4">
        <f t="shared" si="0"/>
        <v>0</v>
      </c>
      <c r="L35" s="4">
        <f t="shared" si="1"/>
        <v>0</v>
      </c>
      <c r="M35" t="s">
        <v>85</v>
      </c>
    </row>
    <row r="36" spans="1:13" ht="16.05" customHeight="1">
      <c r="A36" t="s">
        <v>168</v>
      </c>
      <c r="B36" t="s">
        <v>167</v>
      </c>
      <c r="C36" t="s">
        <v>31</v>
      </c>
      <c r="D36" t="s">
        <v>170</v>
      </c>
      <c r="E36" t="s">
        <v>82</v>
      </c>
      <c r="F36" t="s">
        <v>84</v>
      </c>
      <c r="G36" t="s">
        <v>41</v>
      </c>
      <c r="H36" t="s">
        <v>53</v>
      </c>
      <c r="I36" s="4">
        <f>IFERROR(VLOOKUP(G36,SKU_Cost_Input!$A$2:$E$15,4,FALSE),0)</f>
        <v>0</v>
      </c>
      <c r="J36" s="4">
        <f>IFERROR(VLOOKUP(G36,SKU_Cost_Input!$A$2:$E$15,2,FALSE),0)</f>
        <v>100</v>
      </c>
      <c r="K36" s="4">
        <f t="shared" si="0"/>
        <v>0</v>
      </c>
      <c r="L36" s="4">
        <f t="shared" si="1"/>
        <v>0</v>
      </c>
      <c r="M36" t="s">
        <v>85</v>
      </c>
    </row>
    <row r="37" spans="1:13" ht="16.05" customHeight="1">
      <c r="A37" t="s">
        <v>173</v>
      </c>
      <c r="B37" t="s">
        <v>172</v>
      </c>
      <c r="C37" t="s">
        <v>31</v>
      </c>
      <c r="D37" t="s">
        <v>175</v>
      </c>
      <c r="E37" t="s">
        <v>82</v>
      </c>
      <c r="F37" t="s">
        <v>84</v>
      </c>
      <c r="G37" t="s">
        <v>40</v>
      </c>
      <c r="H37" t="s">
        <v>51</v>
      </c>
      <c r="I37" s="4">
        <f>IFERROR(VLOOKUP(G37,SKU_Cost_Input!$A$2:$E$15,4,FALSE),0)</f>
        <v>0</v>
      </c>
      <c r="J37" s="4">
        <f>IFERROR(VLOOKUP(G37,SKU_Cost_Input!$A$2:$E$15,2,FALSE),0)</f>
        <v>130</v>
      </c>
      <c r="K37" s="4">
        <f t="shared" si="0"/>
        <v>0</v>
      </c>
      <c r="L37" s="4">
        <f t="shared" si="1"/>
        <v>0</v>
      </c>
      <c r="M37" t="s">
        <v>85</v>
      </c>
    </row>
    <row r="38" spans="1:13" ht="16.05" customHeight="1">
      <c r="A38" t="s">
        <v>173</v>
      </c>
      <c r="B38" t="s">
        <v>172</v>
      </c>
      <c r="C38" t="s">
        <v>31</v>
      </c>
      <c r="D38" t="s">
        <v>175</v>
      </c>
      <c r="E38" t="s">
        <v>82</v>
      </c>
      <c r="F38" t="s">
        <v>84</v>
      </c>
      <c r="G38" t="s">
        <v>41</v>
      </c>
      <c r="H38" t="s">
        <v>53</v>
      </c>
      <c r="I38" s="4">
        <f>IFERROR(VLOOKUP(G38,SKU_Cost_Input!$A$2:$E$15,4,FALSE),0)</f>
        <v>0</v>
      </c>
      <c r="J38" s="4">
        <f>IFERROR(VLOOKUP(G38,SKU_Cost_Input!$A$2:$E$15,2,FALSE),0)</f>
        <v>100</v>
      </c>
      <c r="K38" s="4">
        <f t="shared" si="0"/>
        <v>0</v>
      </c>
      <c r="L38" s="4">
        <f t="shared" si="1"/>
        <v>0</v>
      </c>
      <c r="M38" t="s">
        <v>85</v>
      </c>
    </row>
    <row r="39" spans="1:13" ht="16.05" customHeight="1">
      <c r="A39" t="s">
        <v>178</v>
      </c>
      <c r="B39" t="s">
        <v>177</v>
      </c>
      <c r="C39" t="s">
        <v>31</v>
      </c>
      <c r="D39" t="s">
        <v>180</v>
      </c>
      <c r="E39" t="s">
        <v>82</v>
      </c>
      <c r="F39" t="s">
        <v>84</v>
      </c>
      <c r="G39" t="s">
        <v>40</v>
      </c>
      <c r="H39" t="s">
        <v>51</v>
      </c>
      <c r="I39" s="4">
        <f>IFERROR(VLOOKUP(G39,SKU_Cost_Input!$A$2:$E$15,4,FALSE),0)</f>
        <v>0</v>
      </c>
      <c r="J39" s="4">
        <f>IFERROR(VLOOKUP(G39,SKU_Cost_Input!$A$2:$E$15,2,FALSE),0)</f>
        <v>130</v>
      </c>
      <c r="K39" s="4">
        <f t="shared" si="0"/>
        <v>0</v>
      </c>
      <c r="L39" s="4">
        <f t="shared" si="1"/>
        <v>0</v>
      </c>
      <c r="M39" t="s">
        <v>85</v>
      </c>
    </row>
    <row r="40" spans="1:13" ht="16.05" customHeight="1">
      <c r="A40" t="s">
        <v>178</v>
      </c>
      <c r="B40" t="s">
        <v>177</v>
      </c>
      <c r="C40" t="s">
        <v>31</v>
      </c>
      <c r="D40" t="s">
        <v>180</v>
      </c>
      <c r="E40" t="s">
        <v>82</v>
      </c>
      <c r="F40" t="s">
        <v>84</v>
      </c>
      <c r="G40" t="s">
        <v>41</v>
      </c>
      <c r="H40" t="s">
        <v>53</v>
      </c>
      <c r="I40" s="4">
        <f>IFERROR(VLOOKUP(G40,SKU_Cost_Input!$A$2:$E$15,4,FALSE),0)</f>
        <v>0</v>
      </c>
      <c r="J40" s="4">
        <f>IFERROR(VLOOKUP(G40,SKU_Cost_Input!$A$2:$E$15,2,FALSE),0)</f>
        <v>100</v>
      </c>
      <c r="K40" s="4">
        <f t="shared" si="0"/>
        <v>0</v>
      </c>
      <c r="L40" s="4">
        <f t="shared" si="1"/>
        <v>0</v>
      </c>
      <c r="M40" t="s">
        <v>85</v>
      </c>
    </row>
    <row r="41" spans="1:13" ht="16.05" customHeight="1">
      <c r="A41" t="s">
        <v>183</v>
      </c>
      <c r="B41" t="s">
        <v>182</v>
      </c>
      <c r="C41" t="s">
        <v>31</v>
      </c>
      <c r="D41" t="s">
        <v>185</v>
      </c>
      <c r="E41" t="s">
        <v>82</v>
      </c>
      <c r="F41" t="s">
        <v>84</v>
      </c>
      <c r="G41" t="s">
        <v>40</v>
      </c>
      <c r="H41" t="s">
        <v>51</v>
      </c>
      <c r="I41" s="4">
        <f>IFERROR(VLOOKUP(G41,SKU_Cost_Input!$A$2:$E$15,4,FALSE),0)</f>
        <v>0</v>
      </c>
      <c r="J41" s="4">
        <f>IFERROR(VLOOKUP(G41,SKU_Cost_Input!$A$2:$E$15,2,FALSE),0)</f>
        <v>130</v>
      </c>
      <c r="K41" s="4">
        <f t="shared" si="0"/>
        <v>0</v>
      </c>
      <c r="L41" s="4">
        <f t="shared" si="1"/>
        <v>0</v>
      </c>
      <c r="M41" t="s">
        <v>85</v>
      </c>
    </row>
    <row r="42" spans="1:13" ht="16.05" customHeight="1">
      <c r="A42" t="s">
        <v>183</v>
      </c>
      <c r="B42" t="s">
        <v>182</v>
      </c>
      <c r="C42" t="s">
        <v>31</v>
      </c>
      <c r="D42" t="s">
        <v>185</v>
      </c>
      <c r="E42" t="s">
        <v>82</v>
      </c>
      <c r="F42" t="s">
        <v>84</v>
      </c>
      <c r="G42" t="s">
        <v>42</v>
      </c>
      <c r="H42" t="s">
        <v>54</v>
      </c>
      <c r="I42" s="4">
        <f>IFERROR(VLOOKUP(G42,SKU_Cost_Input!$A$2:$E$15,4,FALSE),0)</f>
        <v>0</v>
      </c>
      <c r="J42" s="4">
        <f>IFERROR(VLOOKUP(G42,SKU_Cost_Input!$A$2:$E$15,2,FALSE),0)</f>
        <v>52</v>
      </c>
      <c r="K42" s="4">
        <f t="shared" si="0"/>
        <v>0</v>
      </c>
      <c r="L42" s="4">
        <f t="shared" si="1"/>
        <v>0</v>
      </c>
      <c r="M42" t="s">
        <v>85</v>
      </c>
    </row>
    <row r="43" spans="1:13" ht="16.05" customHeight="1">
      <c r="A43" t="s">
        <v>183</v>
      </c>
      <c r="B43" t="s">
        <v>182</v>
      </c>
      <c r="C43" t="s">
        <v>31</v>
      </c>
      <c r="D43" t="s">
        <v>185</v>
      </c>
      <c r="E43" t="s">
        <v>82</v>
      </c>
      <c r="F43" t="s">
        <v>84</v>
      </c>
      <c r="G43" t="s">
        <v>41</v>
      </c>
      <c r="H43" t="s">
        <v>53</v>
      </c>
      <c r="I43" s="4">
        <f>IFERROR(VLOOKUP(G43,SKU_Cost_Input!$A$2:$E$15,4,FALSE),0)</f>
        <v>0</v>
      </c>
      <c r="J43" s="4">
        <f>IFERROR(VLOOKUP(G43,SKU_Cost_Input!$A$2:$E$15,2,FALSE),0)</f>
        <v>100</v>
      </c>
      <c r="K43" s="4">
        <f t="shared" si="0"/>
        <v>0</v>
      </c>
      <c r="L43" s="4">
        <f t="shared" si="1"/>
        <v>0</v>
      </c>
      <c r="M43" t="s">
        <v>85</v>
      </c>
    </row>
    <row r="44" spans="1:13" ht="16.05" customHeight="1">
      <c r="A44" t="s">
        <v>188</v>
      </c>
      <c r="B44" t="s">
        <v>187</v>
      </c>
      <c r="C44" t="s">
        <v>31</v>
      </c>
      <c r="E44" t="s">
        <v>82</v>
      </c>
      <c r="F44" t="s">
        <v>192</v>
      </c>
      <c r="G44" t="s">
        <v>41</v>
      </c>
      <c r="H44" t="s">
        <v>53</v>
      </c>
      <c r="I44" s="4">
        <f>IFERROR(VLOOKUP(G44,SKU_Cost_Input!$A$2:$E$15,4,FALSE),0)</f>
        <v>0</v>
      </c>
      <c r="J44" s="4">
        <f>IFERROR(VLOOKUP(G44,SKU_Cost_Input!$A$2:$E$15,2,FALSE),0)</f>
        <v>100</v>
      </c>
      <c r="K44" s="4">
        <f t="shared" si="0"/>
        <v>0</v>
      </c>
      <c r="L44" s="4">
        <f t="shared" si="1"/>
        <v>0</v>
      </c>
      <c r="M44" t="s">
        <v>113</v>
      </c>
    </row>
    <row r="45" spans="1:13" ht="16.05" customHeight="1">
      <c r="A45" t="s">
        <v>188</v>
      </c>
      <c r="B45" t="s">
        <v>187</v>
      </c>
      <c r="C45" t="s">
        <v>31</v>
      </c>
      <c r="E45" t="s">
        <v>82</v>
      </c>
      <c r="F45" t="s">
        <v>192</v>
      </c>
      <c r="G45" t="s">
        <v>40</v>
      </c>
      <c r="H45" t="s">
        <v>51</v>
      </c>
      <c r="I45" s="4">
        <f>IFERROR(VLOOKUP(G45,SKU_Cost_Input!$A$2:$E$15,4,FALSE),0)</f>
        <v>0</v>
      </c>
      <c r="J45" s="4">
        <f>IFERROR(VLOOKUP(G45,SKU_Cost_Input!$A$2:$E$15,2,FALSE),0)</f>
        <v>130</v>
      </c>
      <c r="K45" s="4">
        <f t="shared" si="0"/>
        <v>0</v>
      </c>
      <c r="L45" s="4">
        <f t="shared" si="1"/>
        <v>0</v>
      </c>
      <c r="M45" t="s">
        <v>113</v>
      </c>
    </row>
    <row r="46" spans="1:13" ht="16.05" customHeight="1">
      <c r="A46" t="s">
        <v>195</v>
      </c>
      <c r="B46" t="s">
        <v>194</v>
      </c>
      <c r="C46" t="s">
        <v>31</v>
      </c>
      <c r="D46" t="s">
        <v>198</v>
      </c>
      <c r="E46" t="s">
        <v>82</v>
      </c>
      <c r="F46" t="s">
        <v>192</v>
      </c>
      <c r="G46" t="s">
        <v>42</v>
      </c>
      <c r="H46" t="s">
        <v>54</v>
      </c>
      <c r="I46" s="4">
        <f>IFERROR(VLOOKUP(G46,SKU_Cost_Input!$A$2:$E$15,4,FALSE),0)</f>
        <v>0</v>
      </c>
      <c r="J46" s="4">
        <f>IFERROR(VLOOKUP(G46,SKU_Cost_Input!$A$2:$E$15,2,FALSE),0)</f>
        <v>52</v>
      </c>
      <c r="K46" s="4">
        <f t="shared" si="0"/>
        <v>0</v>
      </c>
      <c r="L46" s="4">
        <f t="shared" si="1"/>
        <v>0</v>
      </c>
      <c r="M46" t="s">
        <v>200</v>
      </c>
    </row>
    <row r="47" spans="1:13" ht="16.05" customHeight="1">
      <c r="A47" t="s">
        <v>195</v>
      </c>
      <c r="B47" t="s">
        <v>194</v>
      </c>
      <c r="C47" t="s">
        <v>31</v>
      </c>
      <c r="D47" t="s">
        <v>198</v>
      </c>
      <c r="E47" t="s">
        <v>82</v>
      </c>
      <c r="F47" t="s">
        <v>192</v>
      </c>
      <c r="G47" t="s">
        <v>41</v>
      </c>
      <c r="H47" t="s">
        <v>53</v>
      </c>
      <c r="I47" s="4">
        <f>IFERROR(VLOOKUP(G47,SKU_Cost_Input!$A$2:$E$15,4,FALSE),0)</f>
        <v>0</v>
      </c>
      <c r="J47" s="4">
        <f>IFERROR(VLOOKUP(G47,SKU_Cost_Input!$A$2:$E$15,2,FALSE),0)</f>
        <v>100</v>
      </c>
      <c r="K47" s="4">
        <f t="shared" si="0"/>
        <v>0</v>
      </c>
      <c r="L47" s="4">
        <f t="shared" si="1"/>
        <v>0</v>
      </c>
      <c r="M47" t="s">
        <v>200</v>
      </c>
    </row>
    <row r="48" spans="1:13" ht="16.05" customHeight="1">
      <c r="A48" t="s">
        <v>195</v>
      </c>
      <c r="B48" t="s">
        <v>194</v>
      </c>
      <c r="C48" t="s">
        <v>31</v>
      </c>
      <c r="D48" t="s">
        <v>198</v>
      </c>
      <c r="E48" t="s">
        <v>82</v>
      </c>
      <c r="F48" t="s">
        <v>192</v>
      </c>
      <c r="G48" t="s">
        <v>56</v>
      </c>
      <c r="H48" t="s">
        <v>54</v>
      </c>
      <c r="I48" s="4">
        <f>IFERROR(VLOOKUP(G48,SKU_Cost_Input!$A$2:$E$15,4,FALSE),0)</f>
        <v>0</v>
      </c>
      <c r="J48" s="4">
        <f>IFERROR(VLOOKUP(G48,SKU_Cost_Input!$A$2:$E$15,2,FALSE),0)</f>
        <v>6</v>
      </c>
      <c r="K48" s="4">
        <f t="shared" si="0"/>
        <v>0</v>
      </c>
      <c r="L48" s="4">
        <f t="shared" si="1"/>
        <v>0</v>
      </c>
      <c r="M48" t="s">
        <v>200</v>
      </c>
    </row>
    <row r="49" spans="1:13" ht="16.05" customHeight="1">
      <c r="A49" t="s">
        <v>195</v>
      </c>
      <c r="B49" t="s">
        <v>194</v>
      </c>
      <c r="C49" t="s">
        <v>31</v>
      </c>
      <c r="D49" t="s">
        <v>198</v>
      </c>
      <c r="E49" t="s">
        <v>82</v>
      </c>
      <c r="F49" t="s">
        <v>192</v>
      </c>
      <c r="G49" t="s">
        <v>43</v>
      </c>
      <c r="H49" t="s">
        <v>54</v>
      </c>
      <c r="I49" s="4">
        <f>IFERROR(VLOOKUP(G49,SKU_Cost_Input!$A$2:$E$15,4,FALSE),0)</f>
        <v>0</v>
      </c>
      <c r="J49" s="4">
        <f>IFERROR(VLOOKUP(G49,SKU_Cost_Input!$A$2:$E$15,2,FALSE),0)</f>
        <v>50</v>
      </c>
      <c r="K49" s="4">
        <f t="shared" si="0"/>
        <v>0</v>
      </c>
      <c r="L49" s="4">
        <f t="shared" si="1"/>
        <v>0</v>
      </c>
      <c r="M49" t="s">
        <v>200</v>
      </c>
    </row>
    <row r="50" spans="1:13" ht="16.05" customHeight="1">
      <c r="A50" t="s">
        <v>195</v>
      </c>
      <c r="B50" t="s">
        <v>194</v>
      </c>
      <c r="C50" t="s">
        <v>31</v>
      </c>
      <c r="D50" t="s">
        <v>198</v>
      </c>
      <c r="E50" t="s">
        <v>82</v>
      </c>
      <c r="F50" t="s">
        <v>192</v>
      </c>
      <c r="G50" t="s">
        <v>55</v>
      </c>
      <c r="H50" t="s">
        <v>54</v>
      </c>
      <c r="I50" s="4">
        <f>IFERROR(VLOOKUP(G50,SKU_Cost_Input!$A$2:$E$15,4,FALSE),0)</f>
        <v>0</v>
      </c>
      <c r="J50" s="4">
        <f>IFERROR(VLOOKUP(G50,SKU_Cost_Input!$A$2:$E$15,2,FALSE),0)</f>
        <v>7</v>
      </c>
      <c r="K50" s="4">
        <f t="shared" si="0"/>
        <v>0</v>
      </c>
      <c r="L50" s="4">
        <f t="shared" si="1"/>
        <v>0</v>
      </c>
      <c r="M50" t="s">
        <v>200</v>
      </c>
    </row>
    <row r="51" spans="1:13" ht="16.05" customHeight="1">
      <c r="A51" t="s">
        <v>195</v>
      </c>
      <c r="B51" t="s">
        <v>194</v>
      </c>
      <c r="C51" t="s">
        <v>31</v>
      </c>
      <c r="D51" t="s">
        <v>198</v>
      </c>
      <c r="E51" t="s">
        <v>82</v>
      </c>
      <c r="F51" t="s">
        <v>192</v>
      </c>
      <c r="G51" t="s">
        <v>57</v>
      </c>
      <c r="H51" t="s">
        <v>51</v>
      </c>
      <c r="I51" s="4">
        <f>IFERROR(VLOOKUP(G51,SKU_Cost_Input!$A$2:$E$15,4,FALSE),0)</f>
        <v>0</v>
      </c>
      <c r="J51" s="4">
        <f>IFERROR(VLOOKUP(G51,SKU_Cost_Input!$A$2:$E$15,2,FALSE),0)</f>
        <v>6</v>
      </c>
      <c r="K51" s="4">
        <f t="shared" si="0"/>
        <v>0</v>
      </c>
      <c r="L51" s="4">
        <f t="shared" si="1"/>
        <v>0</v>
      </c>
      <c r="M51" t="s">
        <v>200</v>
      </c>
    </row>
    <row r="52" spans="1:13" ht="16.05" customHeight="1">
      <c r="A52" t="s">
        <v>195</v>
      </c>
      <c r="B52" t="s">
        <v>194</v>
      </c>
      <c r="C52" t="s">
        <v>31</v>
      </c>
      <c r="D52" t="s">
        <v>198</v>
      </c>
      <c r="E52" t="s">
        <v>82</v>
      </c>
      <c r="F52" t="s">
        <v>192</v>
      </c>
      <c r="G52" t="s">
        <v>59</v>
      </c>
      <c r="H52" t="s">
        <v>54</v>
      </c>
      <c r="I52" s="4">
        <f>IFERROR(VLOOKUP(G52,SKU_Cost_Input!$A$2:$E$15,4,FALSE),0)</f>
        <v>0</v>
      </c>
      <c r="J52" s="4">
        <f>IFERROR(VLOOKUP(G52,SKU_Cost_Input!$A$2:$E$15,2,FALSE),0)</f>
        <v>5</v>
      </c>
      <c r="K52" s="4">
        <f t="shared" si="0"/>
        <v>0</v>
      </c>
      <c r="L52" s="4">
        <f t="shared" si="1"/>
        <v>0</v>
      </c>
      <c r="M52" t="s">
        <v>200</v>
      </c>
    </row>
    <row r="53" spans="1:13" ht="16.05" customHeight="1">
      <c r="A53" t="s">
        <v>195</v>
      </c>
      <c r="B53" t="s">
        <v>194</v>
      </c>
      <c r="C53" t="s">
        <v>31</v>
      </c>
      <c r="D53" t="s">
        <v>198</v>
      </c>
      <c r="E53" t="s">
        <v>82</v>
      </c>
      <c r="F53" t="s">
        <v>192</v>
      </c>
      <c r="G53" t="s">
        <v>40</v>
      </c>
      <c r="H53" t="s">
        <v>51</v>
      </c>
      <c r="I53" s="4">
        <f>IFERROR(VLOOKUP(G53,SKU_Cost_Input!$A$2:$E$15,4,FALSE),0)</f>
        <v>0</v>
      </c>
      <c r="J53" s="4">
        <f>IFERROR(VLOOKUP(G53,SKU_Cost_Input!$A$2:$E$15,2,FALSE),0)</f>
        <v>130</v>
      </c>
      <c r="K53" s="4">
        <f t="shared" si="0"/>
        <v>0</v>
      </c>
      <c r="L53" s="4">
        <f t="shared" si="1"/>
        <v>0</v>
      </c>
      <c r="M53" t="s">
        <v>200</v>
      </c>
    </row>
    <row r="54" spans="1:13" ht="16.05" customHeight="1">
      <c r="A54" t="s">
        <v>195</v>
      </c>
      <c r="B54" t="s">
        <v>194</v>
      </c>
      <c r="C54" t="s">
        <v>31</v>
      </c>
      <c r="D54" t="s">
        <v>198</v>
      </c>
      <c r="E54" t="s">
        <v>82</v>
      </c>
      <c r="F54" t="s">
        <v>192</v>
      </c>
      <c r="G54" t="s">
        <v>61</v>
      </c>
      <c r="H54" t="s">
        <v>51</v>
      </c>
      <c r="I54" s="4">
        <f>IFERROR(VLOOKUP(G54,SKU_Cost_Input!$A$2:$E$15,4,FALSE),0)</f>
        <v>0</v>
      </c>
      <c r="J54" s="4">
        <f>IFERROR(VLOOKUP(G54,SKU_Cost_Input!$A$2:$E$15,2,FALSE),0)</f>
        <v>3</v>
      </c>
      <c r="K54" s="4">
        <f t="shared" si="0"/>
        <v>0</v>
      </c>
      <c r="L54" s="4">
        <f t="shared" si="1"/>
        <v>0</v>
      </c>
      <c r="M54" t="s">
        <v>200</v>
      </c>
    </row>
    <row r="55" spans="1:13" ht="16.05" customHeight="1">
      <c r="A55" t="s">
        <v>203</v>
      </c>
      <c r="B55" t="s">
        <v>202</v>
      </c>
      <c r="C55" t="s">
        <v>31</v>
      </c>
      <c r="D55" t="s">
        <v>206</v>
      </c>
      <c r="E55" t="s">
        <v>82</v>
      </c>
      <c r="F55" t="s">
        <v>192</v>
      </c>
      <c r="G55" t="s">
        <v>40</v>
      </c>
      <c r="H55" t="s">
        <v>51</v>
      </c>
      <c r="I55" s="4">
        <f>IFERROR(VLOOKUP(G55,SKU_Cost_Input!$A$2:$E$15,4,FALSE),0)</f>
        <v>0</v>
      </c>
      <c r="J55" s="4">
        <f>IFERROR(VLOOKUP(G55,SKU_Cost_Input!$A$2:$E$15,2,FALSE),0)</f>
        <v>130</v>
      </c>
      <c r="K55" s="4">
        <f t="shared" si="0"/>
        <v>0</v>
      </c>
      <c r="L55" s="4">
        <f t="shared" si="1"/>
        <v>0</v>
      </c>
      <c r="M55" t="s">
        <v>200</v>
      </c>
    </row>
    <row r="56" spans="1:13" ht="16.05" customHeight="1">
      <c r="A56" t="s">
        <v>203</v>
      </c>
      <c r="B56" t="s">
        <v>202</v>
      </c>
      <c r="C56" t="s">
        <v>31</v>
      </c>
      <c r="D56" t="s">
        <v>206</v>
      </c>
      <c r="E56" t="s">
        <v>82</v>
      </c>
      <c r="F56" t="s">
        <v>192</v>
      </c>
      <c r="G56" t="s">
        <v>42</v>
      </c>
      <c r="H56" t="s">
        <v>54</v>
      </c>
      <c r="I56" s="4">
        <f>IFERROR(VLOOKUP(G56,SKU_Cost_Input!$A$2:$E$15,4,FALSE),0)</f>
        <v>0</v>
      </c>
      <c r="J56" s="4">
        <f>IFERROR(VLOOKUP(G56,SKU_Cost_Input!$A$2:$E$15,2,FALSE),0)</f>
        <v>52</v>
      </c>
      <c r="K56" s="4">
        <f t="shared" si="0"/>
        <v>0</v>
      </c>
      <c r="L56" s="4">
        <f t="shared" si="1"/>
        <v>0</v>
      </c>
      <c r="M56" t="s">
        <v>200</v>
      </c>
    </row>
    <row r="57" spans="1:13" ht="16.05" customHeight="1">
      <c r="A57" t="s">
        <v>203</v>
      </c>
      <c r="B57" t="s">
        <v>202</v>
      </c>
      <c r="C57" t="s">
        <v>31</v>
      </c>
      <c r="D57" t="s">
        <v>206</v>
      </c>
      <c r="E57" t="s">
        <v>82</v>
      </c>
      <c r="F57" t="s">
        <v>192</v>
      </c>
      <c r="G57" t="s">
        <v>41</v>
      </c>
      <c r="H57" t="s">
        <v>53</v>
      </c>
      <c r="I57" s="4">
        <f>IFERROR(VLOOKUP(G57,SKU_Cost_Input!$A$2:$E$15,4,FALSE),0)</f>
        <v>0</v>
      </c>
      <c r="J57" s="4">
        <f>IFERROR(VLOOKUP(G57,SKU_Cost_Input!$A$2:$E$15,2,FALSE),0)</f>
        <v>100</v>
      </c>
      <c r="K57" s="4">
        <f t="shared" si="0"/>
        <v>0</v>
      </c>
      <c r="L57" s="4">
        <f t="shared" si="1"/>
        <v>0</v>
      </c>
      <c r="M57" t="s">
        <v>200</v>
      </c>
    </row>
    <row r="58" spans="1:13" ht="16.05" customHeight="1">
      <c r="A58" t="s">
        <v>209</v>
      </c>
      <c r="B58" t="s">
        <v>208</v>
      </c>
      <c r="C58" t="s">
        <v>31</v>
      </c>
      <c r="D58" t="s">
        <v>212</v>
      </c>
      <c r="E58" t="s">
        <v>82</v>
      </c>
      <c r="F58" t="s">
        <v>192</v>
      </c>
      <c r="G58" t="s">
        <v>40</v>
      </c>
      <c r="H58" t="s">
        <v>51</v>
      </c>
      <c r="I58" s="4">
        <f>IFERROR(VLOOKUP(G58,SKU_Cost_Input!$A$2:$E$15,4,FALSE),0)</f>
        <v>0</v>
      </c>
      <c r="J58" s="4">
        <f>IFERROR(VLOOKUP(G58,SKU_Cost_Input!$A$2:$E$15,2,FALSE),0)</f>
        <v>130</v>
      </c>
      <c r="K58" s="4">
        <f t="shared" si="0"/>
        <v>0</v>
      </c>
      <c r="L58" s="4">
        <f t="shared" si="1"/>
        <v>0</v>
      </c>
      <c r="M58" t="s">
        <v>214</v>
      </c>
    </row>
    <row r="59" spans="1:13" ht="16.05" customHeight="1">
      <c r="A59" t="s">
        <v>209</v>
      </c>
      <c r="B59" t="s">
        <v>208</v>
      </c>
      <c r="C59" t="s">
        <v>31</v>
      </c>
      <c r="D59" t="s">
        <v>212</v>
      </c>
      <c r="E59" t="s">
        <v>82</v>
      </c>
      <c r="F59" t="s">
        <v>192</v>
      </c>
      <c r="G59" t="s">
        <v>44</v>
      </c>
      <c r="H59" t="s">
        <v>53</v>
      </c>
      <c r="I59" s="4">
        <f>IFERROR(VLOOKUP(G59,SKU_Cost_Input!$A$2:$E$15,4,FALSE),0)</f>
        <v>0</v>
      </c>
      <c r="J59" s="4">
        <f>IFERROR(VLOOKUP(G59,SKU_Cost_Input!$A$2:$E$15,2,FALSE),0)</f>
        <v>21</v>
      </c>
      <c r="K59" s="4">
        <f t="shared" si="0"/>
        <v>0</v>
      </c>
      <c r="L59" s="4">
        <f t="shared" si="1"/>
        <v>0</v>
      </c>
      <c r="M59" t="s">
        <v>214</v>
      </c>
    </row>
    <row r="60" spans="1:13" ht="16.05" customHeight="1">
      <c r="A60" t="s">
        <v>216</v>
      </c>
      <c r="B60" t="s">
        <v>215</v>
      </c>
      <c r="C60" t="s">
        <v>31</v>
      </c>
      <c r="D60" t="s">
        <v>219</v>
      </c>
      <c r="E60" t="s">
        <v>82</v>
      </c>
      <c r="F60" t="s">
        <v>192</v>
      </c>
      <c r="G60" t="s">
        <v>42</v>
      </c>
      <c r="H60" t="s">
        <v>54</v>
      </c>
      <c r="I60" s="4">
        <f>IFERROR(VLOOKUP(G60,SKU_Cost_Input!$A$2:$E$15,4,FALSE),0)</f>
        <v>0</v>
      </c>
      <c r="J60" s="4">
        <f>IFERROR(VLOOKUP(G60,SKU_Cost_Input!$A$2:$E$15,2,FALSE),0)</f>
        <v>52</v>
      </c>
      <c r="K60" s="4">
        <f t="shared" si="0"/>
        <v>0</v>
      </c>
      <c r="L60" s="4">
        <f t="shared" si="1"/>
        <v>0</v>
      </c>
      <c r="M60" t="s">
        <v>214</v>
      </c>
    </row>
    <row r="61" spans="1:13" ht="16.05" customHeight="1">
      <c r="A61" t="s">
        <v>216</v>
      </c>
      <c r="B61" t="s">
        <v>215</v>
      </c>
      <c r="C61" t="s">
        <v>31</v>
      </c>
      <c r="D61" t="s">
        <v>219</v>
      </c>
      <c r="E61" t="s">
        <v>82</v>
      </c>
      <c r="F61" t="s">
        <v>192</v>
      </c>
      <c r="G61" t="s">
        <v>41</v>
      </c>
      <c r="H61" t="s">
        <v>53</v>
      </c>
      <c r="I61" s="4">
        <f>IFERROR(VLOOKUP(G61,SKU_Cost_Input!$A$2:$E$15,4,FALSE),0)</f>
        <v>0</v>
      </c>
      <c r="J61" s="4">
        <f>IFERROR(VLOOKUP(G61,SKU_Cost_Input!$A$2:$E$15,2,FALSE),0)</f>
        <v>100</v>
      </c>
      <c r="K61" s="4">
        <f t="shared" si="0"/>
        <v>0</v>
      </c>
      <c r="L61" s="4">
        <f t="shared" si="1"/>
        <v>0</v>
      </c>
      <c r="M61" t="s">
        <v>214</v>
      </c>
    </row>
    <row r="62" spans="1:13" ht="16.05" customHeight="1">
      <c r="A62" t="s">
        <v>216</v>
      </c>
      <c r="B62" t="s">
        <v>215</v>
      </c>
      <c r="C62" t="s">
        <v>31</v>
      </c>
      <c r="D62" t="s">
        <v>219</v>
      </c>
      <c r="E62" t="s">
        <v>82</v>
      </c>
      <c r="F62" t="s">
        <v>192</v>
      </c>
      <c r="G62" t="s">
        <v>56</v>
      </c>
      <c r="H62" t="s">
        <v>54</v>
      </c>
      <c r="I62" s="4">
        <f>IFERROR(VLOOKUP(G62,SKU_Cost_Input!$A$2:$E$15,4,FALSE),0)</f>
        <v>0</v>
      </c>
      <c r="J62" s="4">
        <f>IFERROR(VLOOKUP(G62,SKU_Cost_Input!$A$2:$E$15,2,FALSE),0)</f>
        <v>6</v>
      </c>
      <c r="K62" s="4">
        <f t="shared" si="0"/>
        <v>0</v>
      </c>
      <c r="L62" s="4">
        <f t="shared" si="1"/>
        <v>0</v>
      </c>
      <c r="M62" t="s">
        <v>214</v>
      </c>
    </row>
    <row r="63" spans="1:13" ht="16.05" customHeight="1">
      <c r="A63" t="s">
        <v>216</v>
      </c>
      <c r="B63" t="s">
        <v>215</v>
      </c>
      <c r="C63" t="s">
        <v>31</v>
      </c>
      <c r="D63" t="s">
        <v>219</v>
      </c>
      <c r="E63" t="s">
        <v>82</v>
      </c>
      <c r="F63" t="s">
        <v>192</v>
      </c>
      <c r="G63" t="s">
        <v>43</v>
      </c>
      <c r="H63" t="s">
        <v>54</v>
      </c>
      <c r="I63" s="4">
        <f>IFERROR(VLOOKUP(G63,SKU_Cost_Input!$A$2:$E$15,4,FALSE),0)</f>
        <v>0</v>
      </c>
      <c r="J63" s="4">
        <f>IFERROR(VLOOKUP(G63,SKU_Cost_Input!$A$2:$E$15,2,FALSE),0)</f>
        <v>50</v>
      </c>
      <c r="K63" s="4">
        <f t="shared" si="0"/>
        <v>0</v>
      </c>
      <c r="L63" s="4">
        <f t="shared" si="1"/>
        <v>0</v>
      </c>
      <c r="M63" t="s">
        <v>214</v>
      </c>
    </row>
    <row r="64" spans="1:13" ht="16.05" customHeight="1">
      <c r="A64" t="s">
        <v>216</v>
      </c>
      <c r="B64" t="s">
        <v>215</v>
      </c>
      <c r="C64" t="s">
        <v>31</v>
      </c>
      <c r="D64" t="s">
        <v>219</v>
      </c>
      <c r="E64" t="s">
        <v>82</v>
      </c>
      <c r="F64" t="s">
        <v>192</v>
      </c>
      <c r="G64" t="s">
        <v>55</v>
      </c>
      <c r="H64" t="s">
        <v>54</v>
      </c>
      <c r="I64" s="4">
        <f>IFERROR(VLOOKUP(G64,SKU_Cost_Input!$A$2:$E$15,4,FALSE),0)</f>
        <v>0</v>
      </c>
      <c r="J64" s="4">
        <f>IFERROR(VLOOKUP(G64,SKU_Cost_Input!$A$2:$E$15,2,FALSE),0)</f>
        <v>7</v>
      </c>
      <c r="K64" s="4">
        <f t="shared" si="0"/>
        <v>0</v>
      </c>
      <c r="L64" s="4">
        <f t="shared" si="1"/>
        <v>0</v>
      </c>
      <c r="M64" t="s">
        <v>214</v>
      </c>
    </row>
    <row r="65" spans="1:13" ht="16.05" customHeight="1">
      <c r="A65" t="s">
        <v>216</v>
      </c>
      <c r="B65" t="s">
        <v>215</v>
      </c>
      <c r="C65" t="s">
        <v>31</v>
      </c>
      <c r="D65" t="s">
        <v>219</v>
      </c>
      <c r="E65" t="s">
        <v>82</v>
      </c>
      <c r="F65" t="s">
        <v>192</v>
      </c>
      <c r="G65" t="s">
        <v>57</v>
      </c>
      <c r="H65" t="s">
        <v>51</v>
      </c>
      <c r="I65" s="4">
        <f>IFERROR(VLOOKUP(G65,SKU_Cost_Input!$A$2:$E$15,4,FALSE),0)</f>
        <v>0</v>
      </c>
      <c r="J65" s="4">
        <f>IFERROR(VLOOKUP(G65,SKU_Cost_Input!$A$2:$E$15,2,FALSE),0)</f>
        <v>6</v>
      </c>
      <c r="K65" s="4">
        <f t="shared" si="0"/>
        <v>0</v>
      </c>
      <c r="L65" s="4">
        <f t="shared" si="1"/>
        <v>0</v>
      </c>
      <c r="M65" t="s">
        <v>214</v>
      </c>
    </row>
    <row r="66" spans="1:13" ht="16.05" customHeight="1">
      <c r="A66" t="s">
        <v>216</v>
      </c>
      <c r="B66" t="s">
        <v>215</v>
      </c>
      <c r="C66" t="s">
        <v>31</v>
      </c>
      <c r="D66" t="s">
        <v>219</v>
      </c>
      <c r="E66" t="s">
        <v>82</v>
      </c>
      <c r="F66" t="s">
        <v>192</v>
      </c>
      <c r="G66" t="s">
        <v>59</v>
      </c>
      <c r="H66" t="s">
        <v>54</v>
      </c>
      <c r="I66" s="4">
        <f>IFERROR(VLOOKUP(G66,SKU_Cost_Input!$A$2:$E$15,4,FALSE),0)</f>
        <v>0</v>
      </c>
      <c r="J66" s="4">
        <f>IFERROR(VLOOKUP(G66,SKU_Cost_Input!$A$2:$E$15,2,FALSE),0)</f>
        <v>5</v>
      </c>
      <c r="K66" s="4">
        <f t="shared" ref="K66:K129" si="2">IF(J66=0,0,I66/J66)</f>
        <v>0</v>
      </c>
      <c r="L66" s="4">
        <f t="shared" ref="L66:L129" si="3">K66</f>
        <v>0</v>
      </c>
      <c r="M66" t="s">
        <v>214</v>
      </c>
    </row>
    <row r="67" spans="1:13" ht="16.05" customHeight="1">
      <c r="A67" t="s">
        <v>216</v>
      </c>
      <c r="B67" t="s">
        <v>215</v>
      </c>
      <c r="C67" t="s">
        <v>31</v>
      </c>
      <c r="D67" t="s">
        <v>219</v>
      </c>
      <c r="E67" t="s">
        <v>82</v>
      </c>
      <c r="F67" t="s">
        <v>192</v>
      </c>
      <c r="G67" t="s">
        <v>40</v>
      </c>
      <c r="H67" t="s">
        <v>51</v>
      </c>
      <c r="I67" s="4">
        <f>IFERROR(VLOOKUP(G67,SKU_Cost_Input!$A$2:$E$15,4,FALSE),0)</f>
        <v>0</v>
      </c>
      <c r="J67" s="4">
        <f>IFERROR(VLOOKUP(G67,SKU_Cost_Input!$A$2:$E$15,2,FALSE),0)</f>
        <v>130</v>
      </c>
      <c r="K67" s="4">
        <f t="shared" si="2"/>
        <v>0</v>
      </c>
      <c r="L67" s="4">
        <f t="shared" si="3"/>
        <v>0</v>
      </c>
      <c r="M67" t="s">
        <v>214</v>
      </c>
    </row>
    <row r="68" spans="1:13" ht="16.05" customHeight="1">
      <c r="A68" t="s">
        <v>216</v>
      </c>
      <c r="B68" t="s">
        <v>215</v>
      </c>
      <c r="C68" t="s">
        <v>31</v>
      </c>
      <c r="D68" t="s">
        <v>219</v>
      </c>
      <c r="E68" t="s">
        <v>82</v>
      </c>
      <c r="F68" t="s">
        <v>192</v>
      </c>
      <c r="G68" t="s">
        <v>61</v>
      </c>
      <c r="H68" t="s">
        <v>51</v>
      </c>
      <c r="I68" s="4">
        <f>IFERROR(VLOOKUP(G68,SKU_Cost_Input!$A$2:$E$15,4,FALSE),0)</f>
        <v>0</v>
      </c>
      <c r="J68" s="4">
        <f>IFERROR(VLOOKUP(G68,SKU_Cost_Input!$A$2:$E$15,2,FALSE),0)</f>
        <v>3</v>
      </c>
      <c r="K68" s="4">
        <f t="shared" si="2"/>
        <v>0</v>
      </c>
      <c r="L68" s="4">
        <f t="shared" si="3"/>
        <v>0</v>
      </c>
      <c r="M68" t="s">
        <v>214</v>
      </c>
    </row>
    <row r="69" spans="1:13" ht="16.05" customHeight="1">
      <c r="A69" t="s">
        <v>222</v>
      </c>
      <c r="B69" t="s">
        <v>221</v>
      </c>
      <c r="C69" t="s">
        <v>33</v>
      </c>
      <c r="D69" t="s">
        <v>225</v>
      </c>
      <c r="E69" t="s">
        <v>82</v>
      </c>
      <c r="F69" t="s">
        <v>84</v>
      </c>
      <c r="G69" t="s">
        <v>40</v>
      </c>
      <c r="H69" t="s">
        <v>51</v>
      </c>
      <c r="I69" s="4">
        <f>IFERROR(VLOOKUP(G69,SKU_Cost_Input!$A$2:$E$15,4,FALSE),0)</f>
        <v>0</v>
      </c>
      <c r="J69" s="4">
        <f>IFERROR(VLOOKUP(G69,SKU_Cost_Input!$A$2:$E$15,2,FALSE),0)</f>
        <v>130</v>
      </c>
      <c r="K69" s="4">
        <f t="shared" si="2"/>
        <v>0</v>
      </c>
      <c r="L69" s="4">
        <f t="shared" si="3"/>
        <v>0</v>
      </c>
      <c r="M69" t="s">
        <v>85</v>
      </c>
    </row>
    <row r="70" spans="1:13" ht="16.05" customHeight="1">
      <c r="A70" t="s">
        <v>222</v>
      </c>
      <c r="B70" t="s">
        <v>221</v>
      </c>
      <c r="C70" t="s">
        <v>33</v>
      </c>
      <c r="D70" t="s">
        <v>225</v>
      </c>
      <c r="E70" t="s">
        <v>82</v>
      </c>
      <c r="F70" t="s">
        <v>84</v>
      </c>
      <c r="G70" t="s">
        <v>43</v>
      </c>
      <c r="H70" t="s">
        <v>54</v>
      </c>
      <c r="I70" s="4">
        <f>IFERROR(VLOOKUP(G70,SKU_Cost_Input!$A$2:$E$15,4,FALSE),0)</f>
        <v>0</v>
      </c>
      <c r="J70" s="4">
        <f>IFERROR(VLOOKUP(G70,SKU_Cost_Input!$A$2:$E$15,2,FALSE),0)</f>
        <v>50</v>
      </c>
      <c r="K70" s="4">
        <f t="shared" si="2"/>
        <v>0</v>
      </c>
      <c r="L70" s="4">
        <f t="shared" si="3"/>
        <v>0</v>
      </c>
      <c r="M70" t="s">
        <v>85</v>
      </c>
    </row>
    <row r="71" spans="1:13" ht="16.05" customHeight="1">
      <c r="A71" t="s">
        <v>222</v>
      </c>
      <c r="B71" t="s">
        <v>221</v>
      </c>
      <c r="C71" t="s">
        <v>33</v>
      </c>
      <c r="D71" t="s">
        <v>225</v>
      </c>
      <c r="E71" t="s">
        <v>82</v>
      </c>
      <c r="F71" t="s">
        <v>84</v>
      </c>
      <c r="G71" t="s">
        <v>41</v>
      </c>
      <c r="H71" t="s">
        <v>53</v>
      </c>
      <c r="I71" s="4">
        <f>IFERROR(VLOOKUP(G71,SKU_Cost_Input!$A$2:$E$15,4,FALSE),0)</f>
        <v>0</v>
      </c>
      <c r="J71" s="4">
        <f>IFERROR(VLOOKUP(G71,SKU_Cost_Input!$A$2:$E$15,2,FALSE),0)</f>
        <v>100</v>
      </c>
      <c r="K71" s="4">
        <f t="shared" si="2"/>
        <v>0</v>
      </c>
      <c r="L71" s="4">
        <f t="shared" si="3"/>
        <v>0</v>
      </c>
      <c r="M71" t="s">
        <v>85</v>
      </c>
    </row>
    <row r="72" spans="1:13" ht="16.05" customHeight="1">
      <c r="A72" t="s">
        <v>230</v>
      </c>
      <c r="B72" t="s">
        <v>229</v>
      </c>
      <c r="C72" t="s">
        <v>33</v>
      </c>
      <c r="D72" t="s">
        <v>225</v>
      </c>
      <c r="E72" t="s">
        <v>82</v>
      </c>
      <c r="F72" t="s">
        <v>84</v>
      </c>
      <c r="G72" t="s">
        <v>40</v>
      </c>
      <c r="H72" t="s">
        <v>51</v>
      </c>
      <c r="I72" s="4">
        <f>IFERROR(VLOOKUP(G72,SKU_Cost_Input!$A$2:$E$15,4,FALSE),0)</f>
        <v>0</v>
      </c>
      <c r="J72" s="4">
        <f>IFERROR(VLOOKUP(G72,SKU_Cost_Input!$A$2:$E$15,2,FALSE),0)</f>
        <v>130</v>
      </c>
      <c r="K72" s="4">
        <f t="shared" si="2"/>
        <v>0</v>
      </c>
      <c r="L72" s="4">
        <f t="shared" si="3"/>
        <v>0</v>
      </c>
      <c r="M72" t="s">
        <v>85</v>
      </c>
    </row>
    <row r="73" spans="1:13" ht="16.05" customHeight="1">
      <c r="A73" t="s">
        <v>230</v>
      </c>
      <c r="B73" t="s">
        <v>229</v>
      </c>
      <c r="C73" t="s">
        <v>33</v>
      </c>
      <c r="D73" t="s">
        <v>225</v>
      </c>
      <c r="E73" t="s">
        <v>82</v>
      </c>
      <c r="F73" t="s">
        <v>84</v>
      </c>
      <c r="G73" t="s">
        <v>43</v>
      </c>
      <c r="H73" t="s">
        <v>54</v>
      </c>
      <c r="I73" s="4">
        <f>IFERROR(VLOOKUP(G73,SKU_Cost_Input!$A$2:$E$15,4,FALSE),0)</f>
        <v>0</v>
      </c>
      <c r="J73" s="4">
        <f>IFERROR(VLOOKUP(G73,SKU_Cost_Input!$A$2:$E$15,2,FALSE),0)</f>
        <v>50</v>
      </c>
      <c r="K73" s="4">
        <f t="shared" si="2"/>
        <v>0</v>
      </c>
      <c r="L73" s="4">
        <f t="shared" si="3"/>
        <v>0</v>
      </c>
      <c r="M73" t="s">
        <v>85</v>
      </c>
    </row>
    <row r="74" spans="1:13" ht="16.05" customHeight="1">
      <c r="A74" t="s">
        <v>230</v>
      </c>
      <c r="B74" t="s">
        <v>229</v>
      </c>
      <c r="C74" t="s">
        <v>33</v>
      </c>
      <c r="D74" t="s">
        <v>225</v>
      </c>
      <c r="E74" t="s">
        <v>82</v>
      </c>
      <c r="F74" t="s">
        <v>84</v>
      </c>
      <c r="G74" t="s">
        <v>41</v>
      </c>
      <c r="H74" t="s">
        <v>53</v>
      </c>
      <c r="I74" s="4">
        <f>IFERROR(VLOOKUP(G74,SKU_Cost_Input!$A$2:$E$15,4,FALSE),0)</f>
        <v>0</v>
      </c>
      <c r="J74" s="4">
        <f>IFERROR(VLOOKUP(G74,SKU_Cost_Input!$A$2:$E$15,2,FALSE),0)</f>
        <v>100</v>
      </c>
      <c r="K74" s="4">
        <f t="shared" si="2"/>
        <v>0</v>
      </c>
      <c r="L74" s="4">
        <f t="shared" si="3"/>
        <v>0</v>
      </c>
      <c r="M74" t="s">
        <v>85</v>
      </c>
    </row>
    <row r="75" spans="1:13" ht="16.05" customHeight="1">
      <c r="A75" t="s">
        <v>235</v>
      </c>
      <c r="B75" t="s">
        <v>234</v>
      </c>
      <c r="C75" t="s">
        <v>33</v>
      </c>
      <c r="D75" t="s">
        <v>225</v>
      </c>
      <c r="E75" t="s">
        <v>82</v>
      </c>
      <c r="F75" t="s">
        <v>84</v>
      </c>
      <c r="G75" t="s">
        <v>40</v>
      </c>
      <c r="H75" t="s">
        <v>51</v>
      </c>
      <c r="I75" s="4">
        <f>IFERROR(VLOOKUP(G75,SKU_Cost_Input!$A$2:$E$15,4,FALSE),0)</f>
        <v>0</v>
      </c>
      <c r="J75" s="4">
        <f>IFERROR(VLOOKUP(G75,SKU_Cost_Input!$A$2:$E$15,2,FALSE),0)</f>
        <v>130</v>
      </c>
      <c r="K75" s="4">
        <f t="shared" si="2"/>
        <v>0</v>
      </c>
      <c r="L75" s="4">
        <f t="shared" si="3"/>
        <v>0</v>
      </c>
      <c r="M75" t="s">
        <v>85</v>
      </c>
    </row>
    <row r="76" spans="1:13" ht="16.05" customHeight="1">
      <c r="A76" t="s">
        <v>235</v>
      </c>
      <c r="B76" t="s">
        <v>234</v>
      </c>
      <c r="C76" t="s">
        <v>33</v>
      </c>
      <c r="D76" t="s">
        <v>225</v>
      </c>
      <c r="E76" t="s">
        <v>82</v>
      </c>
      <c r="F76" t="s">
        <v>84</v>
      </c>
      <c r="G76" t="s">
        <v>43</v>
      </c>
      <c r="H76" t="s">
        <v>54</v>
      </c>
      <c r="I76" s="4">
        <f>IFERROR(VLOOKUP(G76,SKU_Cost_Input!$A$2:$E$15,4,FALSE),0)</f>
        <v>0</v>
      </c>
      <c r="J76" s="4">
        <f>IFERROR(VLOOKUP(G76,SKU_Cost_Input!$A$2:$E$15,2,FALSE),0)</f>
        <v>50</v>
      </c>
      <c r="K76" s="4">
        <f t="shared" si="2"/>
        <v>0</v>
      </c>
      <c r="L76" s="4">
        <f t="shared" si="3"/>
        <v>0</v>
      </c>
      <c r="M76" t="s">
        <v>85</v>
      </c>
    </row>
    <row r="77" spans="1:13" ht="16.05" customHeight="1">
      <c r="A77" t="s">
        <v>235</v>
      </c>
      <c r="B77" t="s">
        <v>234</v>
      </c>
      <c r="C77" t="s">
        <v>33</v>
      </c>
      <c r="D77" t="s">
        <v>225</v>
      </c>
      <c r="E77" t="s">
        <v>82</v>
      </c>
      <c r="F77" t="s">
        <v>84</v>
      </c>
      <c r="G77" t="s">
        <v>41</v>
      </c>
      <c r="H77" t="s">
        <v>53</v>
      </c>
      <c r="I77" s="4">
        <f>IFERROR(VLOOKUP(G77,SKU_Cost_Input!$A$2:$E$15,4,FALSE),0)</f>
        <v>0</v>
      </c>
      <c r="J77" s="4">
        <f>IFERROR(VLOOKUP(G77,SKU_Cost_Input!$A$2:$E$15,2,FALSE),0)</f>
        <v>100</v>
      </c>
      <c r="K77" s="4">
        <f t="shared" si="2"/>
        <v>0</v>
      </c>
      <c r="L77" s="4">
        <f t="shared" si="3"/>
        <v>0</v>
      </c>
      <c r="M77" t="s">
        <v>85</v>
      </c>
    </row>
    <row r="78" spans="1:13" ht="16.05" customHeight="1">
      <c r="A78" t="s">
        <v>239</v>
      </c>
      <c r="B78" t="s">
        <v>238</v>
      </c>
      <c r="C78" t="s">
        <v>33</v>
      </c>
      <c r="D78" t="s">
        <v>225</v>
      </c>
      <c r="E78" t="s">
        <v>82</v>
      </c>
      <c r="F78" t="s">
        <v>84</v>
      </c>
      <c r="G78" t="s">
        <v>40</v>
      </c>
      <c r="H78" t="s">
        <v>51</v>
      </c>
      <c r="I78" s="4">
        <f>IFERROR(VLOOKUP(G78,SKU_Cost_Input!$A$2:$E$15,4,FALSE),0)</f>
        <v>0</v>
      </c>
      <c r="J78" s="4">
        <f>IFERROR(VLOOKUP(G78,SKU_Cost_Input!$A$2:$E$15,2,FALSE),0)</f>
        <v>130</v>
      </c>
      <c r="K78" s="4">
        <f t="shared" si="2"/>
        <v>0</v>
      </c>
      <c r="L78" s="4">
        <f t="shared" si="3"/>
        <v>0</v>
      </c>
      <c r="M78" t="s">
        <v>85</v>
      </c>
    </row>
    <row r="79" spans="1:13" ht="16.05" customHeight="1">
      <c r="A79" t="s">
        <v>239</v>
      </c>
      <c r="B79" t="s">
        <v>238</v>
      </c>
      <c r="C79" t="s">
        <v>33</v>
      </c>
      <c r="D79" t="s">
        <v>225</v>
      </c>
      <c r="E79" t="s">
        <v>82</v>
      </c>
      <c r="F79" t="s">
        <v>84</v>
      </c>
      <c r="G79" t="s">
        <v>43</v>
      </c>
      <c r="H79" t="s">
        <v>54</v>
      </c>
      <c r="I79" s="4">
        <f>IFERROR(VLOOKUP(G79,SKU_Cost_Input!$A$2:$E$15,4,FALSE),0)</f>
        <v>0</v>
      </c>
      <c r="J79" s="4">
        <f>IFERROR(VLOOKUP(G79,SKU_Cost_Input!$A$2:$E$15,2,FALSE),0)</f>
        <v>50</v>
      </c>
      <c r="K79" s="4">
        <f t="shared" si="2"/>
        <v>0</v>
      </c>
      <c r="L79" s="4">
        <f t="shared" si="3"/>
        <v>0</v>
      </c>
      <c r="M79" t="s">
        <v>85</v>
      </c>
    </row>
    <row r="80" spans="1:13" ht="16.05" customHeight="1">
      <c r="A80" t="s">
        <v>239</v>
      </c>
      <c r="B80" t="s">
        <v>238</v>
      </c>
      <c r="C80" t="s">
        <v>33</v>
      </c>
      <c r="D80" t="s">
        <v>225</v>
      </c>
      <c r="E80" t="s">
        <v>82</v>
      </c>
      <c r="F80" t="s">
        <v>84</v>
      </c>
      <c r="G80" t="s">
        <v>41</v>
      </c>
      <c r="H80" t="s">
        <v>53</v>
      </c>
      <c r="I80" s="4">
        <f>IFERROR(VLOOKUP(G80,SKU_Cost_Input!$A$2:$E$15,4,FALSE),0)</f>
        <v>0</v>
      </c>
      <c r="J80" s="4">
        <f>IFERROR(VLOOKUP(G80,SKU_Cost_Input!$A$2:$E$15,2,FALSE),0)</f>
        <v>100</v>
      </c>
      <c r="K80" s="4">
        <f t="shared" si="2"/>
        <v>0</v>
      </c>
      <c r="L80" s="4">
        <f t="shared" si="3"/>
        <v>0</v>
      </c>
      <c r="M80" t="s">
        <v>85</v>
      </c>
    </row>
    <row r="81" spans="1:13" ht="16.05" customHeight="1">
      <c r="A81" t="s">
        <v>244</v>
      </c>
      <c r="B81" t="s">
        <v>243</v>
      </c>
      <c r="C81" t="s">
        <v>33</v>
      </c>
      <c r="D81" t="s">
        <v>225</v>
      </c>
      <c r="E81" t="s">
        <v>82</v>
      </c>
      <c r="F81" t="s">
        <v>84</v>
      </c>
      <c r="G81" t="s">
        <v>40</v>
      </c>
      <c r="H81" t="s">
        <v>51</v>
      </c>
      <c r="I81" s="4">
        <f>IFERROR(VLOOKUP(G81,SKU_Cost_Input!$A$2:$E$15,4,FALSE),0)</f>
        <v>0</v>
      </c>
      <c r="J81" s="4">
        <f>IFERROR(VLOOKUP(G81,SKU_Cost_Input!$A$2:$E$15,2,FALSE),0)</f>
        <v>130</v>
      </c>
      <c r="K81" s="4">
        <f t="shared" si="2"/>
        <v>0</v>
      </c>
      <c r="L81" s="4">
        <f t="shared" si="3"/>
        <v>0</v>
      </c>
      <c r="M81" t="s">
        <v>85</v>
      </c>
    </row>
    <row r="82" spans="1:13" ht="16.05" customHeight="1">
      <c r="A82" t="s">
        <v>244</v>
      </c>
      <c r="B82" t="s">
        <v>243</v>
      </c>
      <c r="C82" t="s">
        <v>33</v>
      </c>
      <c r="D82" t="s">
        <v>225</v>
      </c>
      <c r="E82" t="s">
        <v>82</v>
      </c>
      <c r="F82" t="s">
        <v>84</v>
      </c>
      <c r="G82" t="s">
        <v>43</v>
      </c>
      <c r="H82" t="s">
        <v>54</v>
      </c>
      <c r="I82" s="4">
        <f>IFERROR(VLOOKUP(G82,SKU_Cost_Input!$A$2:$E$15,4,FALSE),0)</f>
        <v>0</v>
      </c>
      <c r="J82" s="4">
        <f>IFERROR(VLOOKUP(G82,SKU_Cost_Input!$A$2:$E$15,2,FALSE),0)</f>
        <v>50</v>
      </c>
      <c r="K82" s="4">
        <f t="shared" si="2"/>
        <v>0</v>
      </c>
      <c r="L82" s="4">
        <f t="shared" si="3"/>
        <v>0</v>
      </c>
      <c r="M82" t="s">
        <v>85</v>
      </c>
    </row>
    <row r="83" spans="1:13" ht="16.05" customHeight="1">
      <c r="A83" t="s">
        <v>244</v>
      </c>
      <c r="B83" t="s">
        <v>243</v>
      </c>
      <c r="C83" t="s">
        <v>33</v>
      </c>
      <c r="D83" t="s">
        <v>225</v>
      </c>
      <c r="E83" t="s">
        <v>82</v>
      </c>
      <c r="F83" t="s">
        <v>84</v>
      </c>
      <c r="G83" t="s">
        <v>41</v>
      </c>
      <c r="H83" t="s">
        <v>53</v>
      </c>
      <c r="I83" s="4">
        <f>IFERROR(VLOOKUP(G83,SKU_Cost_Input!$A$2:$E$15,4,FALSE),0)</f>
        <v>0</v>
      </c>
      <c r="J83" s="4">
        <f>IFERROR(VLOOKUP(G83,SKU_Cost_Input!$A$2:$E$15,2,FALSE),0)</f>
        <v>100</v>
      </c>
      <c r="K83" s="4">
        <f t="shared" si="2"/>
        <v>0</v>
      </c>
      <c r="L83" s="4">
        <f t="shared" si="3"/>
        <v>0</v>
      </c>
      <c r="M83" t="s">
        <v>85</v>
      </c>
    </row>
    <row r="84" spans="1:13" ht="16.05" customHeight="1">
      <c r="A84" t="s">
        <v>248</v>
      </c>
      <c r="B84" t="s">
        <v>247</v>
      </c>
      <c r="C84" t="s">
        <v>33</v>
      </c>
      <c r="D84" t="s">
        <v>251</v>
      </c>
      <c r="E84" t="s">
        <v>82</v>
      </c>
      <c r="F84" t="s">
        <v>84</v>
      </c>
      <c r="G84" t="s">
        <v>44</v>
      </c>
      <c r="H84" t="s">
        <v>53</v>
      </c>
      <c r="I84" s="4">
        <f>IFERROR(VLOOKUP(G84,SKU_Cost_Input!$A$2:$E$15,4,FALSE),0)</f>
        <v>0</v>
      </c>
      <c r="J84" s="4">
        <f>IFERROR(VLOOKUP(G84,SKU_Cost_Input!$A$2:$E$15,2,FALSE),0)</f>
        <v>21</v>
      </c>
      <c r="K84" s="4">
        <f t="shared" si="2"/>
        <v>0</v>
      </c>
      <c r="L84" s="4">
        <f t="shared" si="3"/>
        <v>0</v>
      </c>
      <c r="M84" t="s">
        <v>85</v>
      </c>
    </row>
    <row r="85" spans="1:13" ht="16.05" customHeight="1">
      <c r="A85" t="s">
        <v>248</v>
      </c>
      <c r="B85" t="s">
        <v>247</v>
      </c>
      <c r="C85" t="s">
        <v>33</v>
      </c>
      <c r="D85" t="s">
        <v>251</v>
      </c>
      <c r="E85" t="s">
        <v>82</v>
      </c>
      <c r="F85" t="s">
        <v>84</v>
      </c>
      <c r="G85" t="s">
        <v>40</v>
      </c>
      <c r="H85" t="s">
        <v>51</v>
      </c>
      <c r="I85" s="4">
        <f>IFERROR(VLOOKUP(G85,SKU_Cost_Input!$A$2:$E$15,4,FALSE),0)</f>
        <v>0</v>
      </c>
      <c r="J85" s="4">
        <f>IFERROR(VLOOKUP(G85,SKU_Cost_Input!$A$2:$E$15,2,FALSE),0)</f>
        <v>130</v>
      </c>
      <c r="K85" s="4">
        <f t="shared" si="2"/>
        <v>0</v>
      </c>
      <c r="L85" s="4">
        <f t="shared" si="3"/>
        <v>0</v>
      </c>
      <c r="M85" t="s">
        <v>85</v>
      </c>
    </row>
    <row r="86" spans="1:13" ht="16.05" customHeight="1">
      <c r="A86" t="s">
        <v>255</v>
      </c>
      <c r="B86" t="s">
        <v>254</v>
      </c>
      <c r="C86" t="s">
        <v>32</v>
      </c>
      <c r="D86" t="s">
        <v>257</v>
      </c>
      <c r="E86" t="s">
        <v>82</v>
      </c>
      <c r="F86" t="s">
        <v>84</v>
      </c>
      <c r="G86" t="s">
        <v>40</v>
      </c>
      <c r="H86" t="s">
        <v>51</v>
      </c>
      <c r="I86" s="4">
        <f>IFERROR(VLOOKUP(G86,SKU_Cost_Input!$A$2:$E$15,4,FALSE),0)</f>
        <v>0</v>
      </c>
      <c r="J86" s="4">
        <f>IFERROR(VLOOKUP(G86,SKU_Cost_Input!$A$2:$E$15,2,FALSE),0)</f>
        <v>130</v>
      </c>
      <c r="K86" s="4">
        <f t="shared" si="2"/>
        <v>0</v>
      </c>
      <c r="L86" s="4">
        <f t="shared" si="3"/>
        <v>0</v>
      </c>
      <c r="M86" t="s">
        <v>85</v>
      </c>
    </row>
    <row r="87" spans="1:13" ht="16.05" customHeight="1">
      <c r="A87" t="s">
        <v>255</v>
      </c>
      <c r="B87" t="s">
        <v>254</v>
      </c>
      <c r="C87" t="s">
        <v>32</v>
      </c>
      <c r="D87" t="s">
        <v>257</v>
      </c>
      <c r="E87" t="s">
        <v>82</v>
      </c>
      <c r="F87" t="s">
        <v>84</v>
      </c>
      <c r="G87" t="s">
        <v>41</v>
      </c>
      <c r="H87" t="s">
        <v>53</v>
      </c>
      <c r="I87" s="4">
        <f>IFERROR(VLOOKUP(G87,SKU_Cost_Input!$A$2:$E$15,4,FALSE),0)</f>
        <v>0</v>
      </c>
      <c r="J87" s="4">
        <f>IFERROR(VLOOKUP(G87,SKU_Cost_Input!$A$2:$E$15,2,FALSE),0)</f>
        <v>100</v>
      </c>
      <c r="K87" s="4">
        <f t="shared" si="2"/>
        <v>0</v>
      </c>
      <c r="L87" s="4">
        <f t="shared" si="3"/>
        <v>0</v>
      </c>
      <c r="M87" t="s">
        <v>85</v>
      </c>
    </row>
    <row r="88" spans="1:13" ht="16.05" customHeight="1">
      <c r="A88" t="s">
        <v>260</v>
      </c>
      <c r="B88" t="s">
        <v>259</v>
      </c>
      <c r="C88" t="s">
        <v>32</v>
      </c>
      <c r="D88" t="s">
        <v>262</v>
      </c>
      <c r="E88" t="s">
        <v>82</v>
      </c>
      <c r="F88" t="s">
        <v>84</v>
      </c>
      <c r="G88" t="s">
        <v>40</v>
      </c>
      <c r="H88" t="s">
        <v>51</v>
      </c>
      <c r="I88" s="4">
        <f>IFERROR(VLOOKUP(G88,SKU_Cost_Input!$A$2:$E$15,4,FALSE),0)</f>
        <v>0</v>
      </c>
      <c r="J88" s="4">
        <f>IFERROR(VLOOKUP(G88,SKU_Cost_Input!$A$2:$E$15,2,FALSE),0)</f>
        <v>130</v>
      </c>
      <c r="K88" s="4">
        <f t="shared" si="2"/>
        <v>0</v>
      </c>
      <c r="L88" s="4">
        <f t="shared" si="3"/>
        <v>0</v>
      </c>
      <c r="M88" t="s">
        <v>85</v>
      </c>
    </row>
    <row r="89" spans="1:13" ht="16.05" customHeight="1">
      <c r="A89" t="s">
        <v>260</v>
      </c>
      <c r="B89" t="s">
        <v>259</v>
      </c>
      <c r="C89" t="s">
        <v>32</v>
      </c>
      <c r="D89" t="s">
        <v>262</v>
      </c>
      <c r="E89" t="s">
        <v>82</v>
      </c>
      <c r="F89" t="s">
        <v>84</v>
      </c>
      <c r="G89" t="s">
        <v>41</v>
      </c>
      <c r="H89" t="s">
        <v>53</v>
      </c>
      <c r="I89" s="4">
        <f>IFERROR(VLOOKUP(G89,SKU_Cost_Input!$A$2:$E$15,4,FALSE),0)</f>
        <v>0</v>
      </c>
      <c r="J89" s="4">
        <f>IFERROR(VLOOKUP(G89,SKU_Cost_Input!$A$2:$E$15,2,FALSE),0)</f>
        <v>100</v>
      </c>
      <c r="K89" s="4">
        <f t="shared" si="2"/>
        <v>0</v>
      </c>
      <c r="L89" s="4">
        <f t="shared" si="3"/>
        <v>0</v>
      </c>
      <c r="M89" t="s">
        <v>85</v>
      </c>
    </row>
    <row r="90" spans="1:13" ht="16.05" customHeight="1">
      <c r="A90" t="s">
        <v>265</v>
      </c>
      <c r="B90" t="s">
        <v>264</v>
      </c>
      <c r="C90" t="s">
        <v>32</v>
      </c>
      <c r="D90" t="s">
        <v>268</v>
      </c>
      <c r="E90" t="s">
        <v>82</v>
      </c>
      <c r="F90" t="s">
        <v>84</v>
      </c>
      <c r="G90" t="s">
        <v>40</v>
      </c>
      <c r="H90" t="s">
        <v>51</v>
      </c>
      <c r="I90" s="4">
        <f>IFERROR(VLOOKUP(G90,SKU_Cost_Input!$A$2:$E$15,4,FALSE),0)</f>
        <v>0</v>
      </c>
      <c r="J90" s="4">
        <f>IFERROR(VLOOKUP(G90,SKU_Cost_Input!$A$2:$E$15,2,FALSE),0)</f>
        <v>130</v>
      </c>
      <c r="K90" s="4">
        <f t="shared" si="2"/>
        <v>0</v>
      </c>
      <c r="L90" s="4">
        <f t="shared" si="3"/>
        <v>0</v>
      </c>
      <c r="M90" t="s">
        <v>85</v>
      </c>
    </row>
    <row r="91" spans="1:13" ht="16.05" customHeight="1">
      <c r="A91" t="s">
        <v>265</v>
      </c>
      <c r="B91" t="s">
        <v>264</v>
      </c>
      <c r="C91" t="s">
        <v>32</v>
      </c>
      <c r="D91" t="s">
        <v>268</v>
      </c>
      <c r="E91" t="s">
        <v>82</v>
      </c>
      <c r="F91" t="s">
        <v>84</v>
      </c>
      <c r="G91" t="s">
        <v>43</v>
      </c>
      <c r="H91" t="s">
        <v>54</v>
      </c>
      <c r="I91" s="4">
        <f>IFERROR(VLOOKUP(G91,SKU_Cost_Input!$A$2:$E$15,4,FALSE),0)</f>
        <v>0</v>
      </c>
      <c r="J91" s="4">
        <f>IFERROR(VLOOKUP(G91,SKU_Cost_Input!$A$2:$E$15,2,FALSE),0)</f>
        <v>50</v>
      </c>
      <c r="K91" s="4">
        <f t="shared" si="2"/>
        <v>0</v>
      </c>
      <c r="L91" s="4">
        <f t="shared" si="3"/>
        <v>0</v>
      </c>
      <c r="M91" t="s">
        <v>85</v>
      </c>
    </row>
    <row r="92" spans="1:13" ht="16.05" customHeight="1">
      <c r="A92" t="s">
        <v>265</v>
      </c>
      <c r="B92" t="s">
        <v>264</v>
      </c>
      <c r="C92" t="s">
        <v>32</v>
      </c>
      <c r="D92" t="s">
        <v>268</v>
      </c>
      <c r="E92" t="s">
        <v>82</v>
      </c>
      <c r="F92" t="s">
        <v>84</v>
      </c>
      <c r="G92" t="s">
        <v>41</v>
      </c>
      <c r="H92" t="s">
        <v>53</v>
      </c>
      <c r="I92" s="4">
        <f>IFERROR(VLOOKUP(G92,SKU_Cost_Input!$A$2:$E$15,4,FALSE),0)</f>
        <v>0</v>
      </c>
      <c r="J92" s="4">
        <f>IFERROR(VLOOKUP(G92,SKU_Cost_Input!$A$2:$E$15,2,FALSE),0)</f>
        <v>100</v>
      </c>
      <c r="K92" s="4">
        <f t="shared" si="2"/>
        <v>0</v>
      </c>
      <c r="L92" s="4">
        <f t="shared" si="3"/>
        <v>0</v>
      </c>
      <c r="M92" t="s">
        <v>85</v>
      </c>
    </row>
    <row r="93" spans="1:13" ht="16.05" customHeight="1">
      <c r="A93" t="s">
        <v>271</v>
      </c>
      <c r="B93" t="s">
        <v>270</v>
      </c>
      <c r="C93" t="s">
        <v>32</v>
      </c>
      <c r="D93" t="s">
        <v>274</v>
      </c>
      <c r="E93" t="s">
        <v>82</v>
      </c>
      <c r="F93" t="s">
        <v>84</v>
      </c>
      <c r="G93" t="s">
        <v>44</v>
      </c>
      <c r="H93" t="s">
        <v>53</v>
      </c>
      <c r="I93" s="4">
        <f>IFERROR(VLOOKUP(G93,SKU_Cost_Input!$A$2:$E$15,4,FALSE),0)</f>
        <v>0</v>
      </c>
      <c r="J93" s="4">
        <f>IFERROR(VLOOKUP(G93,SKU_Cost_Input!$A$2:$E$15,2,FALSE),0)</f>
        <v>21</v>
      </c>
      <c r="K93" s="4">
        <f t="shared" si="2"/>
        <v>0</v>
      </c>
      <c r="L93" s="4">
        <f t="shared" si="3"/>
        <v>0</v>
      </c>
      <c r="M93" t="s">
        <v>85</v>
      </c>
    </row>
    <row r="94" spans="1:13" ht="16.05" customHeight="1">
      <c r="A94" t="s">
        <v>271</v>
      </c>
      <c r="B94" t="s">
        <v>270</v>
      </c>
      <c r="C94" t="s">
        <v>32</v>
      </c>
      <c r="D94" t="s">
        <v>274</v>
      </c>
      <c r="E94" t="s">
        <v>82</v>
      </c>
      <c r="F94" t="s">
        <v>84</v>
      </c>
      <c r="G94" t="s">
        <v>40</v>
      </c>
      <c r="H94" t="s">
        <v>51</v>
      </c>
      <c r="I94" s="4">
        <f>IFERROR(VLOOKUP(G94,SKU_Cost_Input!$A$2:$E$15,4,FALSE),0)</f>
        <v>0</v>
      </c>
      <c r="J94" s="4">
        <f>IFERROR(VLOOKUP(G94,SKU_Cost_Input!$A$2:$E$15,2,FALSE),0)</f>
        <v>130</v>
      </c>
      <c r="K94" s="4">
        <f t="shared" si="2"/>
        <v>0</v>
      </c>
      <c r="L94" s="4">
        <f t="shared" si="3"/>
        <v>0</v>
      </c>
      <c r="M94" t="s">
        <v>85</v>
      </c>
    </row>
    <row r="95" spans="1:13" ht="16.05" customHeight="1">
      <c r="A95" t="s">
        <v>271</v>
      </c>
      <c r="B95" t="s">
        <v>270</v>
      </c>
      <c r="C95" t="s">
        <v>32</v>
      </c>
      <c r="D95" t="s">
        <v>274</v>
      </c>
      <c r="E95" t="s">
        <v>82</v>
      </c>
      <c r="F95" t="s">
        <v>84</v>
      </c>
      <c r="G95" t="s">
        <v>42</v>
      </c>
      <c r="H95" t="s">
        <v>54</v>
      </c>
      <c r="I95" s="4">
        <f>IFERROR(VLOOKUP(G95,SKU_Cost_Input!$A$2:$E$15,4,FALSE),0)</f>
        <v>0</v>
      </c>
      <c r="J95" s="4">
        <f>IFERROR(VLOOKUP(G95,SKU_Cost_Input!$A$2:$E$15,2,FALSE),0)</f>
        <v>52</v>
      </c>
      <c r="K95" s="4">
        <f t="shared" si="2"/>
        <v>0</v>
      </c>
      <c r="L95" s="4">
        <f t="shared" si="3"/>
        <v>0</v>
      </c>
      <c r="M95" t="s">
        <v>85</v>
      </c>
    </row>
    <row r="96" spans="1:13" ht="16.05" customHeight="1">
      <c r="A96" t="s">
        <v>278</v>
      </c>
      <c r="B96" t="s">
        <v>277</v>
      </c>
      <c r="C96" t="s">
        <v>30</v>
      </c>
      <c r="E96" t="s">
        <v>279</v>
      </c>
      <c r="F96" t="s">
        <v>84</v>
      </c>
      <c r="G96" t="s">
        <v>42</v>
      </c>
      <c r="H96" t="s">
        <v>54</v>
      </c>
      <c r="I96" s="4">
        <f>IFERROR(VLOOKUP(G96,SKU_Cost_Input!$A$2:$E$15,4,FALSE),0)</f>
        <v>0</v>
      </c>
      <c r="J96" s="4">
        <f>IFERROR(VLOOKUP(G96,SKU_Cost_Input!$A$2:$E$15,2,FALSE),0)</f>
        <v>52</v>
      </c>
      <c r="K96" s="4">
        <f t="shared" si="2"/>
        <v>0</v>
      </c>
      <c r="L96" s="4">
        <f t="shared" si="3"/>
        <v>0</v>
      </c>
      <c r="M96" t="s">
        <v>280</v>
      </c>
    </row>
    <row r="97" spans="1:13" ht="16.05" customHeight="1">
      <c r="A97" t="s">
        <v>278</v>
      </c>
      <c r="B97" t="s">
        <v>277</v>
      </c>
      <c r="C97" t="s">
        <v>30</v>
      </c>
      <c r="E97" t="s">
        <v>279</v>
      </c>
      <c r="F97" t="s">
        <v>84</v>
      </c>
      <c r="G97" t="s">
        <v>60</v>
      </c>
      <c r="H97" t="s">
        <v>53</v>
      </c>
      <c r="I97" s="4">
        <f>IFERROR(VLOOKUP(G97,SKU_Cost_Input!$A$2:$E$15,4,FALSE),0)</f>
        <v>0</v>
      </c>
      <c r="J97" s="4">
        <f>IFERROR(VLOOKUP(G97,SKU_Cost_Input!$A$2:$E$15,2,FALSE),0)</f>
        <v>4</v>
      </c>
      <c r="K97" s="4">
        <f t="shared" si="2"/>
        <v>0</v>
      </c>
      <c r="L97" s="4">
        <f t="shared" si="3"/>
        <v>0</v>
      </c>
      <c r="M97" t="s">
        <v>280</v>
      </c>
    </row>
    <row r="98" spans="1:13" ht="16.05" customHeight="1">
      <c r="A98" t="s">
        <v>283</v>
      </c>
      <c r="B98" t="s">
        <v>282</v>
      </c>
      <c r="C98" t="s">
        <v>30</v>
      </c>
      <c r="E98" t="s">
        <v>279</v>
      </c>
      <c r="F98" t="s">
        <v>84</v>
      </c>
      <c r="G98" t="s">
        <v>40</v>
      </c>
      <c r="H98" t="s">
        <v>51</v>
      </c>
      <c r="I98" s="4">
        <f>IFERROR(VLOOKUP(G98,SKU_Cost_Input!$A$2:$E$15,4,FALSE),0)</f>
        <v>0</v>
      </c>
      <c r="J98" s="4">
        <f>IFERROR(VLOOKUP(G98,SKU_Cost_Input!$A$2:$E$15,2,FALSE),0)</f>
        <v>130</v>
      </c>
      <c r="K98" s="4">
        <f t="shared" si="2"/>
        <v>0</v>
      </c>
      <c r="L98" s="4">
        <f t="shared" si="3"/>
        <v>0</v>
      </c>
      <c r="M98" t="s">
        <v>280</v>
      </c>
    </row>
    <row r="99" spans="1:13" ht="16.05" customHeight="1">
      <c r="A99" t="s">
        <v>283</v>
      </c>
      <c r="B99" t="s">
        <v>282</v>
      </c>
      <c r="C99" t="s">
        <v>30</v>
      </c>
      <c r="E99" t="s">
        <v>279</v>
      </c>
      <c r="F99" t="s">
        <v>84</v>
      </c>
      <c r="G99" t="s">
        <v>43</v>
      </c>
      <c r="H99" t="s">
        <v>54</v>
      </c>
      <c r="I99" s="4">
        <f>IFERROR(VLOOKUP(G99,SKU_Cost_Input!$A$2:$E$15,4,FALSE),0)</f>
        <v>0</v>
      </c>
      <c r="J99" s="4">
        <f>IFERROR(VLOOKUP(G99,SKU_Cost_Input!$A$2:$E$15,2,FALSE),0)</f>
        <v>50</v>
      </c>
      <c r="K99" s="4">
        <f t="shared" si="2"/>
        <v>0</v>
      </c>
      <c r="L99" s="4">
        <f t="shared" si="3"/>
        <v>0</v>
      </c>
      <c r="M99" t="s">
        <v>280</v>
      </c>
    </row>
    <row r="100" spans="1:13" ht="16.05" customHeight="1">
      <c r="A100" t="s">
        <v>283</v>
      </c>
      <c r="B100" t="s">
        <v>282</v>
      </c>
      <c r="C100" t="s">
        <v>30</v>
      </c>
      <c r="E100" t="s">
        <v>279</v>
      </c>
      <c r="F100" t="s">
        <v>84</v>
      </c>
      <c r="G100" t="s">
        <v>45</v>
      </c>
      <c r="H100" t="s">
        <v>53</v>
      </c>
      <c r="I100" s="4">
        <f>IFERROR(VLOOKUP(G100,SKU_Cost_Input!$A$2:$E$15,4,FALSE),0)</f>
        <v>0</v>
      </c>
      <c r="J100" s="4">
        <f>IFERROR(VLOOKUP(G100,SKU_Cost_Input!$A$2:$E$15,2,FALSE),0)</f>
        <v>14</v>
      </c>
      <c r="K100" s="4">
        <f t="shared" si="2"/>
        <v>0</v>
      </c>
      <c r="L100" s="4">
        <f t="shared" si="3"/>
        <v>0</v>
      </c>
      <c r="M100" t="s">
        <v>280</v>
      </c>
    </row>
    <row r="101" spans="1:13" ht="16.05" customHeight="1">
      <c r="A101" t="s">
        <v>286</v>
      </c>
      <c r="B101" t="s">
        <v>285</v>
      </c>
      <c r="C101" t="s">
        <v>30</v>
      </c>
      <c r="D101" t="s">
        <v>288</v>
      </c>
      <c r="E101" t="s">
        <v>82</v>
      </c>
      <c r="F101" t="s">
        <v>84</v>
      </c>
      <c r="G101" t="s">
        <v>44</v>
      </c>
      <c r="H101" t="s">
        <v>53</v>
      </c>
      <c r="I101" s="4">
        <f>IFERROR(VLOOKUP(G101,SKU_Cost_Input!$A$2:$E$15,4,FALSE),0)</f>
        <v>0</v>
      </c>
      <c r="J101" s="4">
        <f>IFERROR(VLOOKUP(G101,SKU_Cost_Input!$A$2:$E$15,2,FALSE),0)</f>
        <v>21</v>
      </c>
      <c r="K101" s="4">
        <f t="shared" si="2"/>
        <v>0</v>
      </c>
      <c r="L101" s="4">
        <f t="shared" si="3"/>
        <v>0</v>
      </c>
      <c r="M101" t="s">
        <v>85</v>
      </c>
    </row>
    <row r="102" spans="1:13" ht="16.05" customHeight="1">
      <c r="A102" t="s">
        <v>286</v>
      </c>
      <c r="B102" t="s">
        <v>285</v>
      </c>
      <c r="C102" t="s">
        <v>30</v>
      </c>
      <c r="D102" t="s">
        <v>288</v>
      </c>
      <c r="E102" t="s">
        <v>82</v>
      </c>
      <c r="F102" t="s">
        <v>84</v>
      </c>
      <c r="G102" t="s">
        <v>55</v>
      </c>
      <c r="H102" t="s">
        <v>54</v>
      </c>
      <c r="I102" s="4">
        <f>IFERROR(VLOOKUP(G102,SKU_Cost_Input!$A$2:$E$15,4,FALSE),0)</f>
        <v>0</v>
      </c>
      <c r="J102" s="4">
        <f>IFERROR(VLOOKUP(G102,SKU_Cost_Input!$A$2:$E$15,2,FALSE),0)</f>
        <v>7</v>
      </c>
      <c r="K102" s="4">
        <f t="shared" si="2"/>
        <v>0</v>
      </c>
      <c r="L102" s="4">
        <f t="shared" si="3"/>
        <v>0</v>
      </c>
      <c r="M102" t="s">
        <v>85</v>
      </c>
    </row>
    <row r="103" spans="1:13" ht="16.05" customHeight="1">
      <c r="A103" t="s">
        <v>286</v>
      </c>
      <c r="B103" t="s">
        <v>285</v>
      </c>
      <c r="C103" t="s">
        <v>30</v>
      </c>
      <c r="D103" t="s">
        <v>288</v>
      </c>
      <c r="E103" t="s">
        <v>82</v>
      </c>
      <c r="F103" t="s">
        <v>84</v>
      </c>
      <c r="G103" t="s">
        <v>40</v>
      </c>
      <c r="H103" t="s">
        <v>51</v>
      </c>
      <c r="I103" s="4">
        <f>IFERROR(VLOOKUP(G103,SKU_Cost_Input!$A$2:$E$15,4,FALSE),0)</f>
        <v>0</v>
      </c>
      <c r="J103" s="4">
        <f>IFERROR(VLOOKUP(G103,SKU_Cost_Input!$A$2:$E$15,2,FALSE),0)</f>
        <v>130</v>
      </c>
      <c r="K103" s="4">
        <f t="shared" si="2"/>
        <v>0</v>
      </c>
      <c r="L103" s="4">
        <f t="shared" si="3"/>
        <v>0</v>
      </c>
      <c r="M103" t="s">
        <v>85</v>
      </c>
    </row>
    <row r="104" spans="1:13" ht="16.05" customHeight="1">
      <c r="A104" t="s">
        <v>286</v>
      </c>
      <c r="B104" t="s">
        <v>285</v>
      </c>
      <c r="C104" t="s">
        <v>30</v>
      </c>
      <c r="D104" t="s">
        <v>288</v>
      </c>
      <c r="E104" t="s">
        <v>82</v>
      </c>
      <c r="F104" t="s">
        <v>84</v>
      </c>
      <c r="G104" t="s">
        <v>42</v>
      </c>
      <c r="H104" t="s">
        <v>54</v>
      </c>
      <c r="I104" s="4">
        <f>IFERROR(VLOOKUP(G104,SKU_Cost_Input!$A$2:$E$15,4,FALSE),0)</f>
        <v>0</v>
      </c>
      <c r="J104" s="4">
        <f>IFERROR(VLOOKUP(G104,SKU_Cost_Input!$A$2:$E$15,2,FALSE),0)</f>
        <v>52</v>
      </c>
      <c r="K104" s="4">
        <f t="shared" si="2"/>
        <v>0</v>
      </c>
      <c r="L104" s="4">
        <f t="shared" si="3"/>
        <v>0</v>
      </c>
      <c r="M104" t="s">
        <v>85</v>
      </c>
    </row>
    <row r="105" spans="1:13" ht="16.05" customHeight="1">
      <c r="A105" t="s">
        <v>293</v>
      </c>
      <c r="B105" t="s">
        <v>292</v>
      </c>
      <c r="C105" t="s">
        <v>30</v>
      </c>
      <c r="D105" t="s">
        <v>296</v>
      </c>
      <c r="E105" t="s">
        <v>82</v>
      </c>
      <c r="F105" t="s">
        <v>84</v>
      </c>
      <c r="G105" t="s">
        <v>40</v>
      </c>
      <c r="H105" t="s">
        <v>51</v>
      </c>
      <c r="I105" s="4">
        <f>IFERROR(VLOOKUP(G105,SKU_Cost_Input!$A$2:$E$15,4,FALSE),0)</f>
        <v>0</v>
      </c>
      <c r="J105" s="4">
        <f>IFERROR(VLOOKUP(G105,SKU_Cost_Input!$A$2:$E$15,2,FALSE),0)</f>
        <v>130</v>
      </c>
      <c r="K105" s="4">
        <f t="shared" si="2"/>
        <v>0</v>
      </c>
      <c r="L105" s="4">
        <f t="shared" si="3"/>
        <v>0</v>
      </c>
      <c r="M105" t="s">
        <v>85</v>
      </c>
    </row>
    <row r="106" spans="1:13" ht="16.05" customHeight="1">
      <c r="A106" t="s">
        <v>293</v>
      </c>
      <c r="B106" t="s">
        <v>292</v>
      </c>
      <c r="C106" t="s">
        <v>30</v>
      </c>
      <c r="D106" t="s">
        <v>296</v>
      </c>
      <c r="E106" t="s">
        <v>82</v>
      </c>
      <c r="F106" t="s">
        <v>84</v>
      </c>
      <c r="G106" t="s">
        <v>42</v>
      </c>
      <c r="H106" t="s">
        <v>54</v>
      </c>
      <c r="I106" s="4">
        <f>IFERROR(VLOOKUP(G106,SKU_Cost_Input!$A$2:$E$15,4,FALSE),0)</f>
        <v>0</v>
      </c>
      <c r="J106" s="4">
        <f>IFERROR(VLOOKUP(G106,SKU_Cost_Input!$A$2:$E$15,2,FALSE),0)</f>
        <v>52</v>
      </c>
      <c r="K106" s="4">
        <f t="shared" si="2"/>
        <v>0</v>
      </c>
      <c r="L106" s="4">
        <f t="shared" si="3"/>
        <v>0</v>
      </c>
      <c r="M106" t="s">
        <v>85</v>
      </c>
    </row>
    <row r="107" spans="1:13" ht="16.05" customHeight="1">
      <c r="A107" t="s">
        <v>293</v>
      </c>
      <c r="B107" t="s">
        <v>292</v>
      </c>
      <c r="C107" t="s">
        <v>30</v>
      </c>
      <c r="D107" t="s">
        <v>296</v>
      </c>
      <c r="E107" t="s">
        <v>82</v>
      </c>
      <c r="F107" t="s">
        <v>84</v>
      </c>
      <c r="G107" t="s">
        <v>41</v>
      </c>
      <c r="H107" t="s">
        <v>53</v>
      </c>
      <c r="I107" s="4">
        <f>IFERROR(VLOOKUP(G107,SKU_Cost_Input!$A$2:$E$15,4,FALSE),0)</f>
        <v>0</v>
      </c>
      <c r="J107" s="4">
        <f>IFERROR(VLOOKUP(G107,SKU_Cost_Input!$A$2:$E$15,2,FALSE),0)</f>
        <v>100</v>
      </c>
      <c r="K107" s="4">
        <f t="shared" si="2"/>
        <v>0</v>
      </c>
      <c r="L107" s="4">
        <f t="shared" si="3"/>
        <v>0</v>
      </c>
      <c r="M107" t="s">
        <v>85</v>
      </c>
    </row>
    <row r="108" spans="1:13" ht="16.05" customHeight="1">
      <c r="A108" t="s">
        <v>293</v>
      </c>
      <c r="B108" t="s">
        <v>292</v>
      </c>
      <c r="C108" t="s">
        <v>30</v>
      </c>
      <c r="D108" t="s">
        <v>296</v>
      </c>
      <c r="E108" t="s">
        <v>82</v>
      </c>
      <c r="F108" t="s">
        <v>84</v>
      </c>
      <c r="G108" t="s">
        <v>43</v>
      </c>
      <c r="H108" t="s">
        <v>54</v>
      </c>
      <c r="I108" s="4">
        <f>IFERROR(VLOOKUP(G108,SKU_Cost_Input!$A$2:$E$15,4,FALSE),0)</f>
        <v>0</v>
      </c>
      <c r="J108" s="4">
        <f>IFERROR(VLOOKUP(G108,SKU_Cost_Input!$A$2:$E$15,2,FALSE),0)</f>
        <v>50</v>
      </c>
      <c r="K108" s="4">
        <f t="shared" si="2"/>
        <v>0</v>
      </c>
      <c r="L108" s="4">
        <f t="shared" si="3"/>
        <v>0</v>
      </c>
      <c r="M108" t="s">
        <v>85</v>
      </c>
    </row>
    <row r="109" spans="1:13" ht="16.05" customHeight="1">
      <c r="A109" t="s">
        <v>301</v>
      </c>
      <c r="B109" t="s">
        <v>300</v>
      </c>
      <c r="C109" t="s">
        <v>30</v>
      </c>
      <c r="D109" t="s">
        <v>304</v>
      </c>
      <c r="E109" t="s">
        <v>82</v>
      </c>
      <c r="F109" t="s">
        <v>84</v>
      </c>
      <c r="G109" t="s">
        <v>40</v>
      </c>
      <c r="H109" t="s">
        <v>51</v>
      </c>
      <c r="I109" s="4">
        <f>IFERROR(VLOOKUP(G109,SKU_Cost_Input!$A$2:$E$15,4,FALSE),0)</f>
        <v>0</v>
      </c>
      <c r="J109" s="4">
        <f>IFERROR(VLOOKUP(G109,SKU_Cost_Input!$A$2:$E$15,2,FALSE),0)</f>
        <v>130</v>
      </c>
      <c r="K109" s="4">
        <f t="shared" si="2"/>
        <v>0</v>
      </c>
      <c r="L109" s="4">
        <f t="shared" si="3"/>
        <v>0</v>
      </c>
      <c r="M109" t="s">
        <v>85</v>
      </c>
    </row>
    <row r="110" spans="1:13" ht="16.05" customHeight="1">
      <c r="A110" t="s">
        <v>301</v>
      </c>
      <c r="B110" t="s">
        <v>300</v>
      </c>
      <c r="C110" t="s">
        <v>30</v>
      </c>
      <c r="D110" t="s">
        <v>304</v>
      </c>
      <c r="E110" t="s">
        <v>82</v>
      </c>
      <c r="F110" t="s">
        <v>84</v>
      </c>
      <c r="G110" t="s">
        <v>42</v>
      </c>
      <c r="H110" t="s">
        <v>54</v>
      </c>
      <c r="I110" s="4">
        <f>IFERROR(VLOOKUP(G110,SKU_Cost_Input!$A$2:$E$15,4,FALSE),0)</f>
        <v>0</v>
      </c>
      <c r="J110" s="4">
        <f>IFERROR(VLOOKUP(G110,SKU_Cost_Input!$A$2:$E$15,2,FALSE),0)</f>
        <v>52</v>
      </c>
      <c r="K110" s="4">
        <f t="shared" si="2"/>
        <v>0</v>
      </c>
      <c r="L110" s="4">
        <f t="shared" si="3"/>
        <v>0</v>
      </c>
      <c r="M110" t="s">
        <v>85</v>
      </c>
    </row>
    <row r="111" spans="1:13" ht="16.05" customHeight="1">
      <c r="A111" t="s">
        <v>301</v>
      </c>
      <c r="B111" t="s">
        <v>300</v>
      </c>
      <c r="C111" t="s">
        <v>30</v>
      </c>
      <c r="D111" t="s">
        <v>304</v>
      </c>
      <c r="E111" t="s">
        <v>82</v>
      </c>
      <c r="F111" t="s">
        <v>84</v>
      </c>
      <c r="G111" t="s">
        <v>43</v>
      </c>
      <c r="H111" t="s">
        <v>54</v>
      </c>
      <c r="I111" s="4">
        <f>IFERROR(VLOOKUP(G111,SKU_Cost_Input!$A$2:$E$15,4,FALSE),0)</f>
        <v>0</v>
      </c>
      <c r="J111" s="4">
        <f>IFERROR(VLOOKUP(G111,SKU_Cost_Input!$A$2:$E$15,2,FALSE),0)</f>
        <v>50</v>
      </c>
      <c r="K111" s="4">
        <f t="shared" si="2"/>
        <v>0</v>
      </c>
      <c r="L111" s="4">
        <f t="shared" si="3"/>
        <v>0</v>
      </c>
      <c r="M111" t="s">
        <v>85</v>
      </c>
    </row>
    <row r="112" spans="1:13" ht="16.05" customHeight="1">
      <c r="A112" t="s">
        <v>301</v>
      </c>
      <c r="B112" t="s">
        <v>300</v>
      </c>
      <c r="C112" t="s">
        <v>30</v>
      </c>
      <c r="D112" t="s">
        <v>304</v>
      </c>
      <c r="E112" t="s">
        <v>82</v>
      </c>
      <c r="F112" t="s">
        <v>84</v>
      </c>
      <c r="G112" t="s">
        <v>41</v>
      </c>
      <c r="H112" t="s">
        <v>53</v>
      </c>
      <c r="I112" s="4">
        <f>IFERROR(VLOOKUP(G112,SKU_Cost_Input!$A$2:$E$15,4,FALSE),0)</f>
        <v>0</v>
      </c>
      <c r="J112" s="4">
        <f>IFERROR(VLOOKUP(G112,SKU_Cost_Input!$A$2:$E$15,2,FALSE),0)</f>
        <v>100</v>
      </c>
      <c r="K112" s="4">
        <f t="shared" si="2"/>
        <v>0</v>
      </c>
      <c r="L112" s="4">
        <f t="shared" si="3"/>
        <v>0</v>
      </c>
      <c r="M112" t="s">
        <v>85</v>
      </c>
    </row>
    <row r="113" spans="1:13" ht="16.05" customHeight="1">
      <c r="A113" t="s">
        <v>309</v>
      </c>
      <c r="B113" t="s">
        <v>308</v>
      </c>
      <c r="C113" t="s">
        <v>30</v>
      </c>
      <c r="D113" t="s">
        <v>311</v>
      </c>
      <c r="E113" t="s">
        <v>82</v>
      </c>
      <c r="F113" t="s">
        <v>84</v>
      </c>
      <c r="G113" t="s">
        <v>40</v>
      </c>
      <c r="H113" t="s">
        <v>51</v>
      </c>
      <c r="I113" s="4">
        <f>IFERROR(VLOOKUP(G113,SKU_Cost_Input!$A$2:$E$15,4,FALSE),0)</f>
        <v>0</v>
      </c>
      <c r="J113" s="4">
        <f>IFERROR(VLOOKUP(G113,SKU_Cost_Input!$A$2:$E$15,2,FALSE),0)</f>
        <v>130</v>
      </c>
      <c r="K113" s="4">
        <f t="shared" si="2"/>
        <v>0</v>
      </c>
      <c r="L113" s="4">
        <f t="shared" si="3"/>
        <v>0</v>
      </c>
      <c r="M113" t="s">
        <v>85</v>
      </c>
    </row>
    <row r="114" spans="1:13" ht="16.05" customHeight="1">
      <c r="A114" t="s">
        <v>309</v>
      </c>
      <c r="B114" t="s">
        <v>308</v>
      </c>
      <c r="C114" t="s">
        <v>30</v>
      </c>
      <c r="D114" t="s">
        <v>311</v>
      </c>
      <c r="E114" t="s">
        <v>82</v>
      </c>
      <c r="F114" t="s">
        <v>84</v>
      </c>
      <c r="G114" t="s">
        <v>41</v>
      </c>
      <c r="H114" t="s">
        <v>53</v>
      </c>
      <c r="I114" s="4">
        <f>IFERROR(VLOOKUP(G114,SKU_Cost_Input!$A$2:$E$15,4,FALSE),0)</f>
        <v>0</v>
      </c>
      <c r="J114" s="4">
        <f>IFERROR(VLOOKUP(G114,SKU_Cost_Input!$A$2:$E$15,2,FALSE),0)</f>
        <v>100</v>
      </c>
      <c r="K114" s="4">
        <f t="shared" si="2"/>
        <v>0</v>
      </c>
      <c r="L114" s="4">
        <f t="shared" si="3"/>
        <v>0</v>
      </c>
      <c r="M114" t="s">
        <v>85</v>
      </c>
    </row>
    <row r="115" spans="1:13" ht="16.05" customHeight="1">
      <c r="A115" t="s">
        <v>315</v>
      </c>
      <c r="B115" t="s">
        <v>314</v>
      </c>
      <c r="C115" t="s">
        <v>30</v>
      </c>
      <c r="D115" t="s">
        <v>318</v>
      </c>
      <c r="E115" t="s">
        <v>82</v>
      </c>
      <c r="F115" t="s">
        <v>84</v>
      </c>
      <c r="G115" t="s">
        <v>44</v>
      </c>
      <c r="H115" t="s">
        <v>53</v>
      </c>
      <c r="I115" s="4">
        <f>IFERROR(VLOOKUP(G115,SKU_Cost_Input!$A$2:$E$15,4,FALSE),0)</f>
        <v>0</v>
      </c>
      <c r="J115" s="4">
        <f>IFERROR(VLOOKUP(G115,SKU_Cost_Input!$A$2:$E$15,2,FALSE),0)</f>
        <v>21</v>
      </c>
      <c r="K115" s="4">
        <f t="shared" si="2"/>
        <v>0</v>
      </c>
      <c r="L115" s="4">
        <f t="shared" si="3"/>
        <v>0</v>
      </c>
      <c r="M115" t="s">
        <v>85</v>
      </c>
    </row>
    <row r="116" spans="1:13" ht="16.05" customHeight="1">
      <c r="A116" t="s">
        <v>315</v>
      </c>
      <c r="B116" t="s">
        <v>314</v>
      </c>
      <c r="C116" t="s">
        <v>30</v>
      </c>
      <c r="D116" t="s">
        <v>318</v>
      </c>
      <c r="E116" t="s">
        <v>82</v>
      </c>
      <c r="F116" t="s">
        <v>84</v>
      </c>
      <c r="G116" t="s">
        <v>40</v>
      </c>
      <c r="H116" t="s">
        <v>51</v>
      </c>
      <c r="I116" s="4">
        <f>IFERROR(VLOOKUP(G116,SKU_Cost_Input!$A$2:$E$15,4,FALSE),0)</f>
        <v>0</v>
      </c>
      <c r="J116" s="4">
        <f>IFERROR(VLOOKUP(G116,SKU_Cost_Input!$A$2:$E$15,2,FALSE),0)</f>
        <v>130</v>
      </c>
      <c r="K116" s="4">
        <f t="shared" si="2"/>
        <v>0</v>
      </c>
      <c r="L116" s="4">
        <f t="shared" si="3"/>
        <v>0</v>
      </c>
      <c r="M116" t="s">
        <v>85</v>
      </c>
    </row>
    <row r="117" spans="1:13" ht="16.05" customHeight="1">
      <c r="A117" t="s">
        <v>315</v>
      </c>
      <c r="B117" t="s">
        <v>314</v>
      </c>
      <c r="C117" t="s">
        <v>30</v>
      </c>
      <c r="D117" t="s">
        <v>318</v>
      </c>
      <c r="E117" t="s">
        <v>82</v>
      </c>
      <c r="F117" t="s">
        <v>84</v>
      </c>
      <c r="G117" t="s">
        <v>43</v>
      </c>
      <c r="H117" t="s">
        <v>54</v>
      </c>
      <c r="I117" s="4">
        <f>IFERROR(VLOOKUP(G117,SKU_Cost_Input!$A$2:$E$15,4,FALSE),0)</f>
        <v>0</v>
      </c>
      <c r="J117" s="4">
        <f>IFERROR(VLOOKUP(G117,SKU_Cost_Input!$A$2:$E$15,2,FALSE),0)</f>
        <v>50</v>
      </c>
      <c r="K117" s="4">
        <f t="shared" si="2"/>
        <v>0</v>
      </c>
      <c r="L117" s="4">
        <f t="shared" si="3"/>
        <v>0</v>
      </c>
      <c r="M117" t="s">
        <v>85</v>
      </c>
    </row>
    <row r="118" spans="1:13" ht="16.05" customHeight="1">
      <c r="A118" t="s">
        <v>323</v>
      </c>
      <c r="B118" t="s">
        <v>322</v>
      </c>
      <c r="C118" t="s">
        <v>30</v>
      </c>
      <c r="D118" t="s">
        <v>326</v>
      </c>
      <c r="E118" t="s">
        <v>82</v>
      </c>
      <c r="F118" t="s">
        <v>84</v>
      </c>
      <c r="G118" t="s">
        <v>40</v>
      </c>
      <c r="H118" t="s">
        <v>51</v>
      </c>
      <c r="I118" s="4">
        <f>IFERROR(VLOOKUP(G118,SKU_Cost_Input!$A$2:$E$15,4,FALSE),0)</f>
        <v>0</v>
      </c>
      <c r="J118" s="4">
        <f>IFERROR(VLOOKUP(G118,SKU_Cost_Input!$A$2:$E$15,2,FALSE),0)</f>
        <v>130</v>
      </c>
      <c r="K118" s="4">
        <f t="shared" si="2"/>
        <v>0</v>
      </c>
      <c r="L118" s="4">
        <f t="shared" si="3"/>
        <v>0</v>
      </c>
      <c r="M118" t="s">
        <v>85</v>
      </c>
    </row>
    <row r="119" spans="1:13" ht="16.05" customHeight="1">
      <c r="A119" t="s">
        <v>323</v>
      </c>
      <c r="B119" t="s">
        <v>322</v>
      </c>
      <c r="C119" t="s">
        <v>30</v>
      </c>
      <c r="D119" t="s">
        <v>326</v>
      </c>
      <c r="E119" t="s">
        <v>82</v>
      </c>
      <c r="F119" t="s">
        <v>84</v>
      </c>
      <c r="G119" t="s">
        <v>42</v>
      </c>
      <c r="H119" t="s">
        <v>54</v>
      </c>
      <c r="I119" s="4">
        <f>IFERROR(VLOOKUP(G119,SKU_Cost_Input!$A$2:$E$15,4,FALSE),0)</f>
        <v>0</v>
      </c>
      <c r="J119" s="4">
        <f>IFERROR(VLOOKUP(G119,SKU_Cost_Input!$A$2:$E$15,2,FALSE),0)</f>
        <v>52</v>
      </c>
      <c r="K119" s="4">
        <f t="shared" si="2"/>
        <v>0</v>
      </c>
      <c r="L119" s="4">
        <f t="shared" si="3"/>
        <v>0</v>
      </c>
      <c r="M119" t="s">
        <v>85</v>
      </c>
    </row>
    <row r="120" spans="1:13" ht="16.05" customHeight="1">
      <c r="A120" t="s">
        <v>323</v>
      </c>
      <c r="B120" t="s">
        <v>322</v>
      </c>
      <c r="C120" t="s">
        <v>30</v>
      </c>
      <c r="D120" t="s">
        <v>326</v>
      </c>
      <c r="E120" t="s">
        <v>82</v>
      </c>
      <c r="F120" t="s">
        <v>84</v>
      </c>
      <c r="G120" t="s">
        <v>43</v>
      </c>
      <c r="H120" t="s">
        <v>54</v>
      </c>
      <c r="I120" s="4">
        <f>IFERROR(VLOOKUP(G120,SKU_Cost_Input!$A$2:$E$15,4,FALSE),0)</f>
        <v>0</v>
      </c>
      <c r="J120" s="4">
        <f>IFERROR(VLOOKUP(G120,SKU_Cost_Input!$A$2:$E$15,2,FALSE),0)</f>
        <v>50</v>
      </c>
      <c r="K120" s="4">
        <f t="shared" si="2"/>
        <v>0</v>
      </c>
      <c r="L120" s="4">
        <f t="shared" si="3"/>
        <v>0</v>
      </c>
      <c r="M120" t="s">
        <v>85</v>
      </c>
    </row>
    <row r="121" spans="1:13" ht="16.05" customHeight="1">
      <c r="A121" t="s">
        <v>323</v>
      </c>
      <c r="B121" t="s">
        <v>322</v>
      </c>
      <c r="C121" t="s">
        <v>30</v>
      </c>
      <c r="D121" t="s">
        <v>326</v>
      </c>
      <c r="E121" t="s">
        <v>82</v>
      </c>
      <c r="F121" t="s">
        <v>84</v>
      </c>
      <c r="G121" t="s">
        <v>41</v>
      </c>
      <c r="H121" t="s">
        <v>53</v>
      </c>
      <c r="I121" s="4">
        <f>IFERROR(VLOOKUP(G121,SKU_Cost_Input!$A$2:$E$15,4,FALSE),0)</f>
        <v>0</v>
      </c>
      <c r="J121" s="4">
        <f>IFERROR(VLOOKUP(G121,SKU_Cost_Input!$A$2:$E$15,2,FALSE),0)</f>
        <v>100</v>
      </c>
      <c r="K121" s="4">
        <f t="shared" si="2"/>
        <v>0</v>
      </c>
      <c r="L121" s="4">
        <f t="shared" si="3"/>
        <v>0</v>
      </c>
      <c r="M121" t="s">
        <v>85</v>
      </c>
    </row>
    <row r="122" spans="1:13" ht="16.05" customHeight="1">
      <c r="A122" t="s">
        <v>330</v>
      </c>
      <c r="B122" t="s">
        <v>329</v>
      </c>
      <c r="C122" t="s">
        <v>30</v>
      </c>
      <c r="D122" t="s">
        <v>332</v>
      </c>
      <c r="E122" t="s">
        <v>82</v>
      </c>
      <c r="F122" t="s">
        <v>84</v>
      </c>
      <c r="G122" t="s">
        <v>40</v>
      </c>
      <c r="H122" t="s">
        <v>51</v>
      </c>
      <c r="I122" s="4">
        <f>IFERROR(VLOOKUP(G122,SKU_Cost_Input!$A$2:$E$15,4,FALSE),0)</f>
        <v>0</v>
      </c>
      <c r="J122" s="4">
        <f>IFERROR(VLOOKUP(G122,SKU_Cost_Input!$A$2:$E$15,2,FALSE),0)</f>
        <v>130</v>
      </c>
      <c r="K122" s="4">
        <f t="shared" si="2"/>
        <v>0</v>
      </c>
      <c r="L122" s="4">
        <f t="shared" si="3"/>
        <v>0</v>
      </c>
      <c r="M122" t="s">
        <v>85</v>
      </c>
    </row>
    <row r="123" spans="1:13" ht="16.05" customHeight="1">
      <c r="A123" t="s">
        <v>330</v>
      </c>
      <c r="B123" t="s">
        <v>329</v>
      </c>
      <c r="C123" t="s">
        <v>30</v>
      </c>
      <c r="D123" t="s">
        <v>332</v>
      </c>
      <c r="E123" t="s">
        <v>82</v>
      </c>
      <c r="F123" t="s">
        <v>84</v>
      </c>
      <c r="G123" t="s">
        <v>58</v>
      </c>
      <c r="H123" t="s">
        <v>53</v>
      </c>
      <c r="I123" s="4">
        <f>IFERROR(VLOOKUP(G123,SKU_Cost_Input!$A$2:$E$15,4,FALSE),0)</f>
        <v>0</v>
      </c>
      <c r="J123" s="4">
        <f>IFERROR(VLOOKUP(G123,SKU_Cost_Input!$A$2:$E$15,2,FALSE),0)</f>
        <v>6</v>
      </c>
      <c r="K123" s="4">
        <f t="shared" si="2"/>
        <v>0</v>
      </c>
      <c r="L123" s="4">
        <f t="shared" si="3"/>
        <v>0</v>
      </c>
      <c r="M123" t="s">
        <v>85</v>
      </c>
    </row>
    <row r="124" spans="1:13" ht="16.05" customHeight="1">
      <c r="A124" t="s">
        <v>330</v>
      </c>
      <c r="B124" t="s">
        <v>329</v>
      </c>
      <c r="C124" t="s">
        <v>30</v>
      </c>
      <c r="D124" t="s">
        <v>332</v>
      </c>
      <c r="E124" t="s">
        <v>82</v>
      </c>
      <c r="F124" t="s">
        <v>84</v>
      </c>
      <c r="G124" t="s">
        <v>55</v>
      </c>
      <c r="H124" t="s">
        <v>54</v>
      </c>
      <c r="I124" s="4">
        <f>IFERROR(VLOOKUP(G124,SKU_Cost_Input!$A$2:$E$15,4,FALSE),0)</f>
        <v>0</v>
      </c>
      <c r="J124" s="4">
        <f>IFERROR(VLOOKUP(G124,SKU_Cost_Input!$A$2:$E$15,2,FALSE),0)</f>
        <v>7</v>
      </c>
      <c r="K124" s="4">
        <f t="shared" si="2"/>
        <v>0</v>
      </c>
      <c r="L124" s="4">
        <f t="shared" si="3"/>
        <v>0</v>
      </c>
      <c r="M124" t="s">
        <v>85</v>
      </c>
    </row>
    <row r="125" spans="1:13" ht="16.05" customHeight="1">
      <c r="A125" t="s">
        <v>330</v>
      </c>
      <c r="B125" t="s">
        <v>329</v>
      </c>
      <c r="C125" t="s">
        <v>30</v>
      </c>
      <c r="D125" t="s">
        <v>332</v>
      </c>
      <c r="E125" t="s">
        <v>82</v>
      </c>
      <c r="F125" t="s">
        <v>84</v>
      </c>
      <c r="G125" t="s">
        <v>56</v>
      </c>
      <c r="H125" t="s">
        <v>54</v>
      </c>
      <c r="I125" s="4">
        <f>IFERROR(VLOOKUP(G125,SKU_Cost_Input!$A$2:$E$15,4,FALSE),0)</f>
        <v>0</v>
      </c>
      <c r="J125" s="4">
        <f>IFERROR(VLOOKUP(G125,SKU_Cost_Input!$A$2:$E$15,2,FALSE),0)</f>
        <v>6</v>
      </c>
      <c r="K125" s="4">
        <f t="shared" si="2"/>
        <v>0</v>
      </c>
      <c r="L125" s="4">
        <f t="shared" si="3"/>
        <v>0</v>
      </c>
      <c r="M125" t="s">
        <v>85</v>
      </c>
    </row>
    <row r="126" spans="1:13" ht="16.05" customHeight="1">
      <c r="A126" t="s">
        <v>330</v>
      </c>
      <c r="B126" t="s">
        <v>329</v>
      </c>
      <c r="C126" t="s">
        <v>30</v>
      </c>
      <c r="D126" t="s">
        <v>332</v>
      </c>
      <c r="E126" t="s">
        <v>82</v>
      </c>
      <c r="F126" t="s">
        <v>84</v>
      </c>
      <c r="G126" t="s">
        <v>45</v>
      </c>
      <c r="H126" t="s">
        <v>53</v>
      </c>
      <c r="I126" s="4">
        <f>IFERROR(VLOOKUP(G126,SKU_Cost_Input!$A$2:$E$15,4,FALSE),0)</f>
        <v>0</v>
      </c>
      <c r="J126" s="4">
        <f>IFERROR(VLOOKUP(G126,SKU_Cost_Input!$A$2:$E$15,2,FALSE),0)</f>
        <v>14</v>
      </c>
      <c r="K126" s="4">
        <f t="shared" si="2"/>
        <v>0</v>
      </c>
      <c r="L126" s="4">
        <f t="shared" si="3"/>
        <v>0</v>
      </c>
      <c r="M126" t="s">
        <v>85</v>
      </c>
    </row>
    <row r="127" spans="1:13" ht="16.05" customHeight="1">
      <c r="A127" t="s">
        <v>330</v>
      </c>
      <c r="B127" t="s">
        <v>329</v>
      </c>
      <c r="C127" t="s">
        <v>30</v>
      </c>
      <c r="D127" t="s">
        <v>332</v>
      </c>
      <c r="E127" t="s">
        <v>82</v>
      </c>
      <c r="F127" t="s">
        <v>84</v>
      </c>
      <c r="G127" t="s">
        <v>43</v>
      </c>
      <c r="H127" t="s">
        <v>54</v>
      </c>
      <c r="I127" s="4">
        <f>IFERROR(VLOOKUP(G127,SKU_Cost_Input!$A$2:$E$15,4,FALSE),0)</f>
        <v>0</v>
      </c>
      <c r="J127" s="4">
        <f>IFERROR(VLOOKUP(G127,SKU_Cost_Input!$A$2:$E$15,2,FALSE),0)</f>
        <v>50</v>
      </c>
      <c r="K127" s="4">
        <f t="shared" si="2"/>
        <v>0</v>
      </c>
      <c r="L127" s="4">
        <f t="shared" si="3"/>
        <v>0</v>
      </c>
      <c r="M127" t="s">
        <v>85</v>
      </c>
    </row>
    <row r="128" spans="1:13" ht="16.05" customHeight="1">
      <c r="A128" t="s">
        <v>330</v>
      </c>
      <c r="B128" t="s">
        <v>329</v>
      </c>
      <c r="C128" t="s">
        <v>30</v>
      </c>
      <c r="D128" t="s">
        <v>332</v>
      </c>
      <c r="E128" t="s">
        <v>82</v>
      </c>
      <c r="F128" t="s">
        <v>84</v>
      </c>
      <c r="G128" t="s">
        <v>42</v>
      </c>
      <c r="H128" t="s">
        <v>54</v>
      </c>
      <c r="I128" s="4">
        <f>IFERROR(VLOOKUP(G128,SKU_Cost_Input!$A$2:$E$15,4,FALSE),0)</f>
        <v>0</v>
      </c>
      <c r="J128" s="4">
        <f>IFERROR(VLOOKUP(G128,SKU_Cost_Input!$A$2:$E$15,2,FALSE),0)</f>
        <v>52</v>
      </c>
      <c r="K128" s="4">
        <f t="shared" si="2"/>
        <v>0</v>
      </c>
      <c r="L128" s="4">
        <f t="shared" si="3"/>
        <v>0</v>
      </c>
      <c r="M128" t="s">
        <v>85</v>
      </c>
    </row>
    <row r="129" spans="1:13" ht="16.05" customHeight="1">
      <c r="A129" t="s">
        <v>337</v>
      </c>
      <c r="B129" t="s">
        <v>336</v>
      </c>
      <c r="C129" t="s">
        <v>30</v>
      </c>
      <c r="D129" t="s">
        <v>339</v>
      </c>
      <c r="E129" t="s">
        <v>82</v>
      </c>
      <c r="F129" t="s">
        <v>84</v>
      </c>
      <c r="G129" t="s">
        <v>40</v>
      </c>
      <c r="H129" t="s">
        <v>51</v>
      </c>
      <c r="I129" s="4">
        <f>IFERROR(VLOOKUP(G129,SKU_Cost_Input!$A$2:$E$15,4,FALSE),0)</f>
        <v>0</v>
      </c>
      <c r="J129" s="4">
        <f>IFERROR(VLOOKUP(G129,SKU_Cost_Input!$A$2:$E$15,2,FALSE),0)</f>
        <v>130</v>
      </c>
      <c r="K129" s="4">
        <f t="shared" si="2"/>
        <v>0</v>
      </c>
      <c r="L129" s="4">
        <f t="shared" si="3"/>
        <v>0</v>
      </c>
      <c r="M129" t="s">
        <v>85</v>
      </c>
    </row>
    <row r="130" spans="1:13" ht="16.05" customHeight="1">
      <c r="A130" t="s">
        <v>337</v>
      </c>
      <c r="B130" t="s">
        <v>336</v>
      </c>
      <c r="C130" t="s">
        <v>30</v>
      </c>
      <c r="D130" t="s">
        <v>339</v>
      </c>
      <c r="E130" t="s">
        <v>82</v>
      </c>
      <c r="F130" t="s">
        <v>84</v>
      </c>
      <c r="G130" t="s">
        <v>41</v>
      </c>
      <c r="H130" t="s">
        <v>53</v>
      </c>
      <c r="I130" s="4">
        <f>IFERROR(VLOOKUP(G130,SKU_Cost_Input!$A$2:$E$15,4,FALSE),0)</f>
        <v>0</v>
      </c>
      <c r="J130" s="4">
        <f>IFERROR(VLOOKUP(G130,SKU_Cost_Input!$A$2:$E$15,2,FALSE),0)</f>
        <v>100</v>
      </c>
      <c r="K130" s="4">
        <f t="shared" ref="K130:K193" si="4">IF(J130=0,0,I130/J130)</f>
        <v>0</v>
      </c>
      <c r="L130" s="4">
        <f t="shared" ref="L130:L193" si="5">K130</f>
        <v>0</v>
      </c>
      <c r="M130" t="s">
        <v>85</v>
      </c>
    </row>
    <row r="131" spans="1:13" ht="16.05" customHeight="1">
      <c r="A131" t="s">
        <v>342</v>
      </c>
      <c r="B131" t="s">
        <v>341</v>
      </c>
      <c r="C131" t="s">
        <v>30</v>
      </c>
      <c r="D131" t="s">
        <v>344</v>
      </c>
      <c r="E131" t="s">
        <v>82</v>
      </c>
      <c r="F131" t="s">
        <v>84</v>
      </c>
      <c r="G131" t="s">
        <v>40</v>
      </c>
      <c r="H131" t="s">
        <v>51</v>
      </c>
      <c r="I131" s="4">
        <f>IFERROR(VLOOKUP(G131,SKU_Cost_Input!$A$2:$E$15,4,FALSE),0)</f>
        <v>0</v>
      </c>
      <c r="J131" s="4">
        <f>IFERROR(VLOOKUP(G131,SKU_Cost_Input!$A$2:$E$15,2,FALSE),0)</f>
        <v>130</v>
      </c>
      <c r="K131" s="4">
        <f t="shared" si="4"/>
        <v>0</v>
      </c>
      <c r="L131" s="4">
        <f t="shared" si="5"/>
        <v>0</v>
      </c>
      <c r="M131" t="s">
        <v>113</v>
      </c>
    </row>
    <row r="132" spans="1:13" ht="16.05" customHeight="1">
      <c r="A132" t="s">
        <v>342</v>
      </c>
      <c r="B132" t="s">
        <v>341</v>
      </c>
      <c r="C132" t="s">
        <v>30</v>
      </c>
      <c r="D132" t="s">
        <v>344</v>
      </c>
      <c r="E132" t="s">
        <v>82</v>
      </c>
      <c r="F132" t="s">
        <v>84</v>
      </c>
      <c r="G132" t="s">
        <v>41</v>
      </c>
      <c r="H132" t="s">
        <v>53</v>
      </c>
      <c r="I132" s="4">
        <f>IFERROR(VLOOKUP(G132,SKU_Cost_Input!$A$2:$E$15,4,FALSE),0)</f>
        <v>0</v>
      </c>
      <c r="J132" s="4">
        <f>IFERROR(VLOOKUP(G132,SKU_Cost_Input!$A$2:$E$15,2,FALSE),0)</f>
        <v>100</v>
      </c>
      <c r="K132" s="4">
        <f t="shared" si="4"/>
        <v>0</v>
      </c>
      <c r="L132" s="4">
        <f t="shared" si="5"/>
        <v>0</v>
      </c>
      <c r="M132" t="s">
        <v>113</v>
      </c>
    </row>
    <row r="133" spans="1:13" ht="16.05" customHeight="1">
      <c r="A133" t="s">
        <v>347</v>
      </c>
      <c r="B133" t="s">
        <v>346</v>
      </c>
      <c r="C133" t="s">
        <v>30</v>
      </c>
      <c r="D133" t="s">
        <v>350</v>
      </c>
      <c r="E133" t="s">
        <v>82</v>
      </c>
      <c r="F133" t="s">
        <v>84</v>
      </c>
      <c r="G133" t="s">
        <v>40</v>
      </c>
      <c r="H133" t="s">
        <v>51</v>
      </c>
      <c r="I133" s="4">
        <f>IFERROR(VLOOKUP(G133,SKU_Cost_Input!$A$2:$E$15,4,FALSE),0)</f>
        <v>0</v>
      </c>
      <c r="J133" s="4">
        <f>IFERROR(VLOOKUP(G133,SKU_Cost_Input!$A$2:$E$15,2,FALSE),0)</f>
        <v>130</v>
      </c>
      <c r="K133" s="4">
        <f t="shared" si="4"/>
        <v>0</v>
      </c>
      <c r="L133" s="4">
        <f t="shared" si="5"/>
        <v>0</v>
      </c>
      <c r="M133" t="s">
        <v>85</v>
      </c>
    </row>
    <row r="134" spans="1:13" ht="16.05" customHeight="1">
      <c r="A134" t="s">
        <v>347</v>
      </c>
      <c r="B134" t="s">
        <v>346</v>
      </c>
      <c r="C134" t="s">
        <v>30</v>
      </c>
      <c r="D134" t="s">
        <v>350</v>
      </c>
      <c r="E134" t="s">
        <v>82</v>
      </c>
      <c r="F134" t="s">
        <v>84</v>
      </c>
      <c r="G134" t="s">
        <v>41</v>
      </c>
      <c r="H134" t="s">
        <v>53</v>
      </c>
      <c r="I134" s="4">
        <f>IFERROR(VLOOKUP(G134,SKU_Cost_Input!$A$2:$E$15,4,FALSE),0)</f>
        <v>0</v>
      </c>
      <c r="J134" s="4">
        <f>IFERROR(VLOOKUP(G134,SKU_Cost_Input!$A$2:$E$15,2,FALSE),0)</f>
        <v>100</v>
      </c>
      <c r="K134" s="4">
        <f t="shared" si="4"/>
        <v>0</v>
      </c>
      <c r="L134" s="4">
        <f t="shared" si="5"/>
        <v>0</v>
      </c>
      <c r="M134" t="s">
        <v>85</v>
      </c>
    </row>
    <row r="135" spans="1:13" ht="16.05" customHeight="1">
      <c r="A135" t="s">
        <v>353</v>
      </c>
      <c r="B135" t="s">
        <v>352</v>
      </c>
      <c r="C135" t="s">
        <v>30</v>
      </c>
      <c r="D135" t="s">
        <v>355</v>
      </c>
      <c r="E135" t="s">
        <v>82</v>
      </c>
      <c r="F135" t="s">
        <v>84</v>
      </c>
      <c r="G135" t="s">
        <v>42</v>
      </c>
      <c r="H135" t="s">
        <v>54</v>
      </c>
      <c r="I135" s="4">
        <f>IFERROR(VLOOKUP(G135,SKU_Cost_Input!$A$2:$E$15,4,FALSE),0)</f>
        <v>0</v>
      </c>
      <c r="J135" s="4">
        <f>IFERROR(VLOOKUP(G135,SKU_Cost_Input!$A$2:$E$15,2,FALSE),0)</f>
        <v>52</v>
      </c>
      <c r="K135" s="4">
        <f t="shared" si="4"/>
        <v>0</v>
      </c>
      <c r="L135" s="4">
        <f t="shared" si="5"/>
        <v>0</v>
      </c>
      <c r="M135" t="s">
        <v>85</v>
      </c>
    </row>
    <row r="136" spans="1:13" ht="16.05" customHeight="1">
      <c r="A136" t="s">
        <v>353</v>
      </c>
      <c r="B136" t="s">
        <v>352</v>
      </c>
      <c r="C136" t="s">
        <v>30</v>
      </c>
      <c r="D136" t="s">
        <v>355</v>
      </c>
      <c r="E136" t="s">
        <v>82</v>
      </c>
      <c r="F136" t="s">
        <v>84</v>
      </c>
      <c r="G136" t="s">
        <v>56</v>
      </c>
      <c r="H136" t="s">
        <v>54</v>
      </c>
      <c r="I136" s="4">
        <f>IFERROR(VLOOKUP(G136,SKU_Cost_Input!$A$2:$E$15,4,FALSE),0)</f>
        <v>0</v>
      </c>
      <c r="J136" s="4">
        <f>IFERROR(VLOOKUP(G136,SKU_Cost_Input!$A$2:$E$15,2,FALSE),0)</f>
        <v>6</v>
      </c>
      <c r="K136" s="4">
        <f t="shared" si="4"/>
        <v>0</v>
      </c>
      <c r="L136" s="4">
        <f t="shared" si="5"/>
        <v>0</v>
      </c>
      <c r="M136" t="s">
        <v>85</v>
      </c>
    </row>
    <row r="137" spans="1:13" ht="16.05" customHeight="1">
      <c r="A137" t="s">
        <v>353</v>
      </c>
      <c r="B137" t="s">
        <v>352</v>
      </c>
      <c r="C137" t="s">
        <v>30</v>
      </c>
      <c r="D137" t="s">
        <v>355</v>
      </c>
      <c r="E137" t="s">
        <v>82</v>
      </c>
      <c r="F137" t="s">
        <v>84</v>
      </c>
      <c r="G137" t="s">
        <v>43</v>
      </c>
      <c r="H137" t="s">
        <v>54</v>
      </c>
      <c r="I137" s="4">
        <f>IFERROR(VLOOKUP(G137,SKU_Cost_Input!$A$2:$E$15,4,FALSE),0)</f>
        <v>0</v>
      </c>
      <c r="J137" s="4">
        <f>IFERROR(VLOOKUP(G137,SKU_Cost_Input!$A$2:$E$15,2,FALSE),0)</f>
        <v>50</v>
      </c>
      <c r="K137" s="4">
        <f t="shared" si="4"/>
        <v>0</v>
      </c>
      <c r="L137" s="4">
        <f t="shared" si="5"/>
        <v>0</v>
      </c>
      <c r="M137" t="s">
        <v>85</v>
      </c>
    </row>
    <row r="138" spans="1:13" ht="16.05" customHeight="1">
      <c r="A138" t="s">
        <v>353</v>
      </c>
      <c r="B138" t="s">
        <v>352</v>
      </c>
      <c r="C138" t="s">
        <v>30</v>
      </c>
      <c r="D138" t="s">
        <v>355</v>
      </c>
      <c r="E138" t="s">
        <v>82</v>
      </c>
      <c r="F138" t="s">
        <v>84</v>
      </c>
      <c r="G138" t="s">
        <v>55</v>
      </c>
      <c r="H138" t="s">
        <v>54</v>
      </c>
      <c r="I138" s="4">
        <f>IFERROR(VLOOKUP(G138,SKU_Cost_Input!$A$2:$E$15,4,FALSE),0)</f>
        <v>0</v>
      </c>
      <c r="J138" s="4">
        <f>IFERROR(VLOOKUP(G138,SKU_Cost_Input!$A$2:$E$15,2,FALSE),0)</f>
        <v>7</v>
      </c>
      <c r="K138" s="4">
        <f t="shared" si="4"/>
        <v>0</v>
      </c>
      <c r="L138" s="4">
        <f t="shared" si="5"/>
        <v>0</v>
      </c>
      <c r="M138" t="s">
        <v>85</v>
      </c>
    </row>
    <row r="139" spans="1:13" ht="16.05" customHeight="1">
      <c r="A139" t="s">
        <v>353</v>
      </c>
      <c r="B139" t="s">
        <v>352</v>
      </c>
      <c r="C139" t="s">
        <v>30</v>
      </c>
      <c r="D139" t="s">
        <v>355</v>
      </c>
      <c r="E139" t="s">
        <v>82</v>
      </c>
      <c r="F139" t="s">
        <v>84</v>
      </c>
      <c r="G139" t="s">
        <v>57</v>
      </c>
      <c r="H139" t="s">
        <v>51</v>
      </c>
      <c r="I139" s="4">
        <f>IFERROR(VLOOKUP(G139,SKU_Cost_Input!$A$2:$E$15,4,FALSE),0)</f>
        <v>0</v>
      </c>
      <c r="J139" s="4">
        <f>IFERROR(VLOOKUP(G139,SKU_Cost_Input!$A$2:$E$15,2,FALSE),0)</f>
        <v>6</v>
      </c>
      <c r="K139" s="4">
        <f t="shared" si="4"/>
        <v>0</v>
      </c>
      <c r="L139" s="4">
        <f t="shared" si="5"/>
        <v>0</v>
      </c>
      <c r="M139" t="s">
        <v>85</v>
      </c>
    </row>
    <row r="140" spans="1:13" ht="16.05" customHeight="1">
      <c r="A140" t="s">
        <v>353</v>
      </c>
      <c r="B140" t="s">
        <v>352</v>
      </c>
      <c r="C140" t="s">
        <v>30</v>
      </c>
      <c r="D140" t="s">
        <v>355</v>
      </c>
      <c r="E140" t="s">
        <v>82</v>
      </c>
      <c r="F140" t="s">
        <v>84</v>
      </c>
      <c r="G140" t="s">
        <v>59</v>
      </c>
      <c r="H140" t="s">
        <v>54</v>
      </c>
      <c r="I140" s="4">
        <f>IFERROR(VLOOKUP(G140,SKU_Cost_Input!$A$2:$E$15,4,FALSE),0)</f>
        <v>0</v>
      </c>
      <c r="J140" s="4">
        <f>IFERROR(VLOOKUP(G140,SKU_Cost_Input!$A$2:$E$15,2,FALSE),0)</f>
        <v>5</v>
      </c>
      <c r="K140" s="4">
        <f t="shared" si="4"/>
        <v>0</v>
      </c>
      <c r="L140" s="4">
        <f t="shared" si="5"/>
        <v>0</v>
      </c>
      <c r="M140" t="s">
        <v>85</v>
      </c>
    </row>
    <row r="141" spans="1:13" ht="16.05" customHeight="1">
      <c r="A141" t="s">
        <v>353</v>
      </c>
      <c r="B141" t="s">
        <v>352</v>
      </c>
      <c r="C141" t="s">
        <v>30</v>
      </c>
      <c r="D141" t="s">
        <v>355</v>
      </c>
      <c r="E141" t="s">
        <v>82</v>
      </c>
      <c r="F141" t="s">
        <v>84</v>
      </c>
      <c r="G141" t="s">
        <v>40</v>
      </c>
      <c r="H141" t="s">
        <v>51</v>
      </c>
      <c r="I141" s="4">
        <f>IFERROR(VLOOKUP(G141,SKU_Cost_Input!$A$2:$E$15,4,FALSE),0)</f>
        <v>0</v>
      </c>
      <c r="J141" s="4">
        <f>IFERROR(VLOOKUP(G141,SKU_Cost_Input!$A$2:$E$15,2,FALSE),0)</f>
        <v>130</v>
      </c>
      <c r="K141" s="4">
        <f t="shared" si="4"/>
        <v>0</v>
      </c>
      <c r="L141" s="4">
        <f t="shared" si="5"/>
        <v>0</v>
      </c>
      <c r="M141" t="s">
        <v>85</v>
      </c>
    </row>
    <row r="142" spans="1:13" ht="16.05" customHeight="1">
      <c r="A142" t="s">
        <v>353</v>
      </c>
      <c r="B142" t="s">
        <v>352</v>
      </c>
      <c r="C142" t="s">
        <v>30</v>
      </c>
      <c r="D142" t="s">
        <v>355</v>
      </c>
      <c r="E142" t="s">
        <v>82</v>
      </c>
      <c r="F142" t="s">
        <v>84</v>
      </c>
      <c r="G142" t="s">
        <v>61</v>
      </c>
      <c r="H142" t="s">
        <v>51</v>
      </c>
      <c r="I142" s="4">
        <f>IFERROR(VLOOKUP(G142,SKU_Cost_Input!$A$2:$E$15,4,FALSE),0)</f>
        <v>0</v>
      </c>
      <c r="J142" s="4">
        <f>IFERROR(VLOOKUP(G142,SKU_Cost_Input!$A$2:$E$15,2,FALSE),0)</f>
        <v>3</v>
      </c>
      <c r="K142" s="4">
        <f t="shared" si="4"/>
        <v>0</v>
      </c>
      <c r="L142" s="4">
        <f t="shared" si="5"/>
        <v>0</v>
      </c>
      <c r="M142" t="s">
        <v>85</v>
      </c>
    </row>
    <row r="143" spans="1:13" ht="16.05" customHeight="1">
      <c r="A143" t="s">
        <v>353</v>
      </c>
      <c r="B143" t="s">
        <v>352</v>
      </c>
      <c r="C143" t="s">
        <v>30</v>
      </c>
      <c r="D143" t="s">
        <v>355</v>
      </c>
      <c r="E143" t="s">
        <v>82</v>
      </c>
      <c r="F143" t="s">
        <v>84</v>
      </c>
      <c r="G143" t="s">
        <v>44</v>
      </c>
      <c r="H143" t="s">
        <v>53</v>
      </c>
      <c r="I143" s="4">
        <f>IFERROR(VLOOKUP(G143,SKU_Cost_Input!$A$2:$E$15,4,FALSE),0)</f>
        <v>0</v>
      </c>
      <c r="J143" s="4">
        <f>IFERROR(VLOOKUP(G143,SKU_Cost_Input!$A$2:$E$15,2,FALSE),0)</f>
        <v>21</v>
      </c>
      <c r="K143" s="4">
        <f t="shared" si="4"/>
        <v>0</v>
      </c>
      <c r="L143" s="4">
        <f t="shared" si="5"/>
        <v>0</v>
      </c>
      <c r="M143" t="s">
        <v>85</v>
      </c>
    </row>
    <row r="144" spans="1:13" ht="16.05" customHeight="1">
      <c r="A144" t="s">
        <v>359</v>
      </c>
      <c r="B144" t="s">
        <v>358</v>
      </c>
      <c r="C144" t="s">
        <v>30</v>
      </c>
      <c r="D144" t="s">
        <v>361</v>
      </c>
      <c r="E144" t="s">
        <v>82</v>
      </c>
      <c r="F144" t="s">
        <v>84</v>
      </c>
      <c r="G144" t="s">
        <v>40</v>
      </c>
      <c r="H144" t="s">
        <v>51</v>
      </c>
      <c r="I144" s="4">
        <f>IFERROR(VLOOKUP(G144,SKU_Cost_Input!$A$2:$E$15,4,FALSE),0)</f>
        <v>0</v>
      </c>
      <c r="J144" s="4">
        <f>IFERROR(VLOOKUP(G144,SKU_Cost_Input!$A$2:$E$15,2,FALSE),0)</f>
        <v>130</v>
      </c>
      <c r="K144" s="4">
        <f t="shared" si="4"/>
        <v>0</v>
      </c>
      <c r="L144" s="4">
        <f t="shared" si="5"/>
        <v>0</v>
      </c>
      <c r="M144" t="s">
        <v>85</v>
      </c>
    </row>
    <row r="145" spans="1:13" ht="16.05" customHeight="1">
      <c r="A145" t="s">
        <v>359</v>
      </c>
      <c r="B145" t="s">
        <v>358</v>
      </c>
      <c r="C145" t="s">
        <v>30</v>
      </c>
      <c r="D145" t="s">
        <v>361</v>
      </c>
      <c r="E145" t="s">
        <v>82</v>
      </c>
      <c r="F145" t="s">
        <v>84</v>
      </c>
      <c r="G145" t="s">
        <v>42</v>
      </c>
      <c r="H145" t="s">
        <v>54</v>
      </c>
      <c r="I145" s="4">
        <f>IFERROR(VLOOKUP(G145,SKU_Cost_Input!$A$2:$E$15,4,FALSE),0)</f>
        <v>0</v>
      </c>
      <c r="J145" s="4">
        <f>IFERROR(VLOOKUP(G145,SKU_Cost_Input!$A$2:$E$15,2,FALSE),0)</f>
        <v>52</v>
      </c>
      <c r="K145" s="4">
        <f t="shared" si="4"/>
        <v>0</v>
      </c>
      <c r="L145" s="4">
        <f t="shared" si="5"/>
        <v>0</v>
      </c>
      <c r="M145" t="s">
        <v>85</v>
      </c>
    </row>
    <row r="146" spans="1:13" ht="16.05" customHeight="1">
      <c r="A146" t="s">
        <v>359</v>
      </c>
      <c r="B146" t="s">
        <v>358</v>
      </c>
      <c r="C146" t="s">
        <v>30</v>
      </c>
      <c r="D146" t="s">
        <v>361</v>
      </c>
      <c r="E146" t="s">
        <v>82</v>
      </c>
      <c r="F146" t="s">
        <v>84</v>
      </c>
      <c r="G146" t="s">
        <v>41</v>
      </c>
      <c r="H146" t="s">
        <v>53</v>
      </c>
      <c r="I146" s="4">
        <f>IFERROR(VLOOKUP(G146,SKU_Cost_Input!$A$2:$E$15,4,FALSE),0)</f>
        <v>0</v>
      </c>
      <c r="J146" s="4">
        <f>IFERROR(VLOOKUP(G146,SKU_Cost_Input!$A$2:$E$15,2,FALSE),0)</f>
        <v>100</v>
      </c>
      <c r="K146" s="4">
        <f t="shared" si="4"/>
        <v>0</v>
      </c>
      <c r="L146" s="4">
        <f t="shared" si="5"/>
        <v>0</v>
      </c>
      <c r="M146" t="s">
        <v>85</v>
      </c>
    </row>
    <row r="147" spans="1:13" ht="16.05" customHeight="1">
      <c r="A147" t="s">
        <v>363</v>
      </c>
      <c r="B147" t="s">
        <v>362</v>
      </c>
      <c r="C147" t="s">
        <v>30</v>
      </c>
      <c r="D147" t="s">
        <v>366</v>
      </c>
      <c r="E147" t="s">
        <v>82</v>
      </c>
      <c r="F147" t="s">
        <v>84</v>
      </c>
      <c r="G147" t="s">
        <v>40</v>
      </c>
      <c r="H147" t="s">
        <v>51</v>
      </c>
      <c r="I147" s="4">
        <f>IFERROR(VLOOKUP(G147,SKU_Cost_Input!$A$2:$E$15,4,FALSE),0)</f>
        <v>0</v>
      </c>
      <c r="J147" s="4">
        <f>IFERROR(VLOOKUP(G147,SKU_Cost_Input!$A$2:$E$15,2,FALSE),0)</f>
        <v>130</v>
      </c>
      <c r="K147" s="4">
        <f t="shared" si="4"/>
        <v>0</v>
      </c>
      <c r="L147" s="4">
        <f t="shared" si="5"/>
        <v>0</v>
      </c>
      <c r="M147" t="s">
        <v>85</v>
      </c>
    </row>
    <row r="148" spans="1:13" ht="16.05" customHeight="1">
      <c r="A148" t="s">
        <v>363</v>
      </c>
      <c r="B148" t="s">
        <v>362</v>
      </c>
      <c r="C148" t="s">
        <v>30</v>
      </c>
      <c r="D148" t="s">
        <v>366</v>
      </c>
      <c r="E148" t="s">
        <v>82</v>
      </c>
      <c r="F148" t="s">
        <v>84</v>
      </c>
      <c r="G148" t="s">
        <v>41</v>
      </c>
      <c r="H148" t="s">
        <v>53</v>
      </c>
      <c r="I148" s="4">
        <f>IFERROR(VLOOKUP(G148,SKU_Cost_Input!$A$2:$E$15,4,FALSE),0)</f>
        <v>0</v>
      </c>
      <c r="J148" s="4">
        <f>IFERROR(VLOOKUP(G148,SKU_Cost_Input!$A$2:$E$15,2,FALSE),0)</f>
        <v>100</v>
      </c>
      <c r="K148" s="4">
        <f t="shared" si="4"/>
        <v>0</v>
      </c>
      <c r="L148" s="4">
        <f t="shared" si="5"/>
        <v>0</v>
      </c>
      <c r="M148" t="s">
        <v>85</v>
      </c>
    </row>
    <row r="149" spans="1:13" ht="16.05" customHeight="1">
      <c r="A149" t="s">
        <v>370</v>
      </c>
      <c r="B149" t="s">
        <v>369</v>
      </c>
      <c r="C149" t="s">
        <v>30</v>
      </c>
      <c r="D149" t="s">
        <v>372</v>
      </c>
      <c r="E149" t="s">
        <v>82</v>
      </c>
      <c r="F149" t="s">
        <v>84</v>
      </c>
      <c r="G149" t="s">
        <v>40</v>
      </c>
      <c r="H149" t="s">
        <v>51</v>
      </c>
      <c r="I149" s="4">
        <f>IFERROR(VLOOKUP(G149,SKU_Cost_Input!$A$2:$E$15,4,FALSE),0)</f>
        <v>0</v>
      </c>
      <c r="J149" s="4">
        <f>IFERROR(VLOOKUP(G149,SKU_Cost_Input!$A$2:$E$15,2,FALSE),0)</f>
        <v>130</v>
      </c>
      <c r="K149" s="4">
        <f t="shared" si="4"/>
        <v>0</v>
      </c>
      <c r="L149" s="4">
        <f t="shared" si="5"/>
        <v>0</v>
      </c>
      <c r="M149" t="s">
        <v>85</v>
      </c>
    </row>
    <row r="150" spans="1:13" ht="16.05" customHeight="1">
      <c r="A150" t="s">
        <v>370</v>
      </c>
      <c r="B150" t="s">
        <v>369</v>
      </c>
      <c r="C150" t="s">
        <v>30</v>
      </c>
      <c r="D150" t="s">
        <v>372</v>
      </c>
      <c r="E150" t="s">
        <v>82</v>
      </c>
      <c r="F150" t="s">
        <v>84</v>
      </c>
      <c r="G150" t="s">
        <v>41</v>
      </c>
      <c r="H150" t="s">
        <v>53</v>
      </c>
      <c r="I150" s="4">
        <f>IFERROR(VLOOKUP(G150,SKU_Cost_Input!$A$2:$E$15,4,FALSE),0)</f>
        <v>0</v>
      </c>
      <c r="J150" s="4">
        <f>IFERROR(VLOOKUP(G150,SKU_Cost_Input!$A$2:$E$15,2,FALSE),0)</f>
        <v>100</v>
      </c>
      <c r="K150" s="4">
        <f t="shared" si="4"/>
        <v>0</v>
      </c>
      <c r="L150" s="4">
        <f t="shared" si="5"/>
        <v>0</v>
      </c>
      <c r="M150" t="s">
        <v>85</v>
      </c>
    </row>
    <row r="151" spans="1:13" ht="16.05" customHeight="1">
      <c r="A151" t="s">
        <v>376</v>
      </c>
      <c r="B151" t="s">
        <v>375</v>
      </c>
      <c r="C151" t="s">
        <v>30</v>
      </c>
      <c r="D151" t="s">
        <v>379</v>
      </c>
      <c r="E151" t="s">
        <v>82</v>
      </c>
      <c r="F151" t="s">
        <v>84</v>
      </c>
      <c r="G151" t="s">
        <v>40</v>
      </c>
      <c r="H151" t="s">
        <v>51</v>
      </c>
      <c r="I151" s="4">
        <f>IFERROR(VLOOKUP(G151,SKU_Cost_Input!$A$2:$E$15,4,FALSE),0)</f>
        <v>0</v>
      </c>
      <c r="J151" s="4">
        <f>IFERROR(VLOOKUP(G151,SKU_Cost_Input!$A$2:$E$15,2,FALSE),0)</f>
        <v>130</v>
      </c>
      <c r="K151" s="4">
        <f t="shared" si="4"/>
        <v>0</v>
      </c>
      <c r="L151" s="4">
        <f t="shared" si="5"/>
        <v>0</v>
      </c>
      <c r="M151" t="s">
        <v>85</v>
      </c>
    </row>
    <row r="152" spans="1:13" ht="16.05" customHeight="1">
      <c r="A152" t="s">
        <v>376</v>
      </c>
      <c r="B152" t="s">
        <v>375</v>
      </c>
      <c r="C152" t="s">
        <v>30</v>
      </c>
      <c r="D152" t="s">
        <v>379</v>
      </c>
      <c r="E152" t="s">
        <v>82</v>
      </c>
      <c r="F152" t="s">
        <v>84</v>
      </c>
      <c r="G152" t="s">
        <v>45</v>
      </c>
      <c r="H152" t="s">
        <v>53</v>
      </c>
      <c r="I152" s="4">
        <f>IFERROR(VLOOKUP(G152,SKU_Cost_Input!$A$2:$E$15,4,FALSE),0)</f>
        <v>0</v>
      </c>
      <c r="J152" s="4">
        <f>IFERROR(VLOOKUP(G152,SKU_Cost_Input!$A$2:$E$15,2,FALSE),0)</f>
        <v>14</v>
      </c>
      <c r="K152" s="4">
        <f t="shared" si="4"/>
        <v>0</v>
      </c>
      <c r="L152" s="4">
        <f t="shared" si="5"/>
        <v>0</v>
      </c>
      <c r="M152" t="s">
        <v>85</v>
      </c>
    </row>
    <row r="153" spans="1:13" ht="16.05" customHeight="1">
      <c r="A153" t="s">
        <v>376</v>
      </c>
      <c r="B153" t="s">
        <v>375</v>
      </c>
      <c r="C153" t="s">
        <v>30</v>
      </c>
      <c r="D153" t="s">
        <v>379</v>
      </c>
      <c r="E153" t="s">
        <v>82</v>
      </c>
      <c r="F153" t="s">
        <v>84</v>
      </c>
      <c r="G153" t="s">
        <v>43</v>
      </c>
      <c r="H153" t="s">
        <v>54</v>
      </c>
      <c r="I153" s="4">
        <f>IFERROR(VLOOKUP(G153,SKU_Cost_Input!$A$2:$E$15,4,FALSE),0)</f>
        <v>0</v>
      </c>
      <c r="J153" s="4">
        <f>IFERROR(VLOOKUP(G153,SKU_Cost_Input!$A$2:$E$15,2,FALSE),0)</f>
        <v>50</v>
      </c>
      <c r="K153" s="4">
        <f t="shared" si="4"/>
        <v>0</v>
      </c>
      <c r="L153" s="4">
        <f t="shared" si="5"/>
        <v>0</v>
      </c>
      <c r="M153" t="s">
        <v>85</v>
      </c>
    </row>
    <row r="154" spans="1:13" ht="16.05" customHeight="1">
      <c r="A154" t="s">
        <v>376</v>
      </c>
      <c r="B154" t="s">
        <v>375</v>
      </c>
      <c r="C154" t="s">
        <v>30</v>
      </c>
      <c r="D154" t="s">
        <v>379</v>
      </c>
      <c r="E154" t="s">
        <v>82</v>
      </c>
      <c r="F154" t="s">
        <v>84</v>
      </c>
      <c r="G154" t="s">
        <v>42</v>
      </c>
      <c r="H154" t="s">
        <v>54</v>
      </c>
      <c r="I154" s="4">
        <f>IFERROR(VLOOKUP(G154,SKU_Cost_Input!$A$2:$E$15,4,FALSE),0)</f>
        <v>0</v>
      </c>
      <c r="J154" s="4">
        <f>IFERROR(VLOOKUP(G154,SKU_Cost_Input!$A$2:$E$15,2,FALSE),0)</f>
        <v>52</v>
      </c>
      <c r="K154" s="4">
        <f t="shared" si="4"/>
        <v>0</v>
      </c>
      <c r="L154" s="4">
        <f t="shared" si="5"/>
        <v>0</v>
      </c>
      <c r="M154" t="s">
        <v>85</v>
      </c>
    </row>
    <row r="155" spans="1:13" ht="16.05" customHeight="1">
      <c r="A155" t="s">
        <v>383</v>
      </c>
      <c r="B155" t="s">
        <v>382</v>
      </c>
      <c r="C155" t="s">
        <v>30</v>
      </c>
      <c r="D155" t="s">
        <v>385</v>
      </c>
      <c r="E155" t="s">
        <v>82</v>
      </c>
      <c r="F155" t="s">
        <v>84</v>
      </c>
      <c r="G155" t="s">
        <v>40</v>
      </c>
      <c r="H155" t="s">
        <v>51</v>
      </c>
      <c r="I155" s="4">
        <f>IFERROR(VLOOKUP(G155,SKU_Cost_Input!$A$2:$E$15,4,FALSE),0)</f>
        <v>0</v>
      </c>
      <c r="J155" s="4">
        <f>IFERROR(VLOOKUP(G155,SKU_Cost_Input!$A$2:$E$15,2,FALSE),0)</f>
        <v>130</v>
      </c>
      <c r="K155" s="4">
        <f t="shared" si="4"/>
        <v>0</v>
      </c>
      <c r="L155" s="4">
        <f t="shared" si="5"/>
        <v>0</v>
      </c>
      <c r="M155" t="s">
        <v>85</v>
      </c>
    </row>
    <row r="156" spans="1:13" ht="16.05" customHeight="1">
      <c r="A156" t="s">
        <v>383</v>
      </c>
      <c r="B156" t="s">
        <v>382</v>
      </c>
      <c r="C156" t="s">
        <v>30</v>
      </c>
      <c r="D156" t="s">
        <v>385</v>
      </c>
      <c r="E156" t="s">
        <v>82</v>
      </c>
      <c r="F156" t="s">
        <v>84</v>
      </c>
      <c r="G156" t="s">
        <v>43</v>
      </c>
      <c r="H156" t="s">
        <v>54</v>
      </c>
      <c r="I156" s="4">
        <f>IFERROR(VLOOKUP(G156,SKU_Cost_Input!$A$2:$E$15,4,FALSE),0)</f>
        <v>0</v>
      </c>
      <c r="J156" s="4">
        <f>IFERROR(VLOOKUP(G156,SKU_Cost_Input!$A$2:$E$15,2,FALSE),0)</f>
        <v>50</v>
      </c>
      <c r="K156" s="4">
        <f t="shared" si="4"/>
        <v>0</v>
      </c>
      <c r="L156" s="4">
        <f t="shared" si="5"/>
        <v>0</v>
      </c>
      <c r="M156" t="s">
        <v>85</v>
      </c>
    </row>
    <row r="157" spans="1:13" ht="16.05" customHeight="1">
      <c r="A157" t="s">
        <v>383</v>
      </c>
      <c r="B157" t="s">
        <v>382</v>
      </c>
      <c r="C157" t="s">
        <v>30</v>
      </c>
      <c r="D157" t="s">
        <v>385</v>
      </c>
      <c r="E157" t="s">
        <v>82</v>
      </c>
      <c r="F157" t="s">
        <v>84</v>
      </c>
      <c r="G157" t="s">
        <v>41</v>
      </c>
      <c r="H157" t="s">
        <v>53</v>
      </c>
      <c r="I157" s="4">
        <f>IFERROR(VLOOKUP(G157,SKU_Cost_Input!$A$2:$E$15,4,FALSE),0)</f>
        <v>0</v>
      </c>
      <c r="J157" s="4">
        <f>IFERROR(VLOOKUP(G157,SKU_Cost_Input!$A$2:$E$15,2,FALSE),0)</f>
        <v>100</v>
      </c>
      <c r="K157" s="4">
        <f t="shared" si="4"/>
        <v>0</v>
      </c>
      <c r="L157" s="4">
        <f t="shared" si="5"/>
        <v>0</v>
      </c>
      <c r="M157" t="s">
        <v>85</v>
      </c>
    </row>
    <row r="158" spans="1:13" ht="16.05" customHeight="1">
      <c r="A158" t="s">
        <v>383</v>
      </c>
      <c r="B158" t="s">
        <v>382</v>
      </c>
      <c r="C158" t="s">
        <v>30</v>
      </c>
      <c r="D158" t="s">
        <v>385</v>
      </c>
      <c r="E158" t="s">
        <v>82</v>
      </c>
      <c r="F158" t="s">
        <v>84</v>
      </c>
      <c r="G158" t="s">
        <v>42</v>
      </c>
      <c r="H158" t="s">
        <v>54</v>
      </c>
      <c r="I158" s="4">
        <f>IFERROR(VLOOKUP(G158,SKU_Cost_Input!$A$2:$E$15,4,FALSE),0)</f>
        <v>0</v>
      </c>
      <c r="J158" s="4">
        <f>IFERROR(VLOOKUP(G158,SKU_Cost_Input!$A$2:$E$15,2,FALSE),0)</f>
        <v>52</v>
      </c>
      <c r="K158" s="4">
        <f t="shared" si="4"/>
        <v>0</v>
      </c>
      <c r="L158" s="4">
        <f t="shared" si="5"/>
        <v>0</v>
      </c>
      <c r="M158" t="s">
        <v>85</v>
      </c>
    </row>
    <row r="159" spans="1:13" ht="16.05" customHeight="1">
      <c r="A159" t="s">
        <v>390</v>
      </c>
      <c r="B159" t="s">
        <v>389</v>
      </c>
      <c r="C159" t="s">
        <v>30</v>
      </c>
      <c r="D159" t="s">
        <v>392</v>
      </c>
      <c r="E159" t="s">
        <v>82</v>
      </c>
      <c r="F159" t="s">
        <v>84</v>
      </c>
      <c r="G159" t="s">
        <v>40</v>
      </c>
      <c r="H159" t="s">
        <v>51</v>
      </c>
      <c r="I159" s="4">
        <f>IFERROR(VLOOKUP(G159,SKU_Cost_Input!$A$2:$E$15,4,FALSE),0)</f>
        <v>0</v>
      </c>
      <c r="J159" s="4">
        <f>IFERROR(VLOOKUP(G159,SKU_Cost_Input!$A$2:$E$15,2,FALSE),0)</f>
        <v>130</v>
      </c>
      <c r="K159" s="4">
        <f t="shared" si="4"/>
        <v>0</v>
      </c>
      <c r="L159" s="4">
        <f t="shared" si="5"/>
        <v>0</v>
      </c>
      <c r="M159" t="s">
        <v>85</v>
      </c>
    </row>
    <row r="160" spans="1:13" ht="16.05" customHeight="1">
      <c r="A160" t="s">
        <v>390</v>
      </c>
      <c r="B160" t="s">
        <v>389</v>
      </c>
      <c r="C160" t="s">
        <v>30</v>
      </c>
      <c r="D160" t="s">
        <v>392</v>
      </c>
      <c r="E160" t="s">
        <v>82</v>
      </c>
      <c r="F160" t="s">
        <v>84</v>
      </c>
      <c r="G160" t="s">
        <v>58</v>
      </c>
      <c r="H160" t="s">
        <v>53</v>
      </c>
      <c r="I160" s="4">
        <f>IFERROR(VLOOKUP(G160,SKU_Cost_Input!$A$2:$E$15,4,FALSE),0)</f>
        <v>0</v>
      </c>
      <c r="J160" s="4">
        <f>IFERROR(VLOOKUP(G160,SKU_Cost_Input!$A$2:$E$15,2,FALSE),0)</f>
        <v>6</v>
      </c>
      <c r="K160" s="4">
        <f t="shared" si="4"/>
        <v>0</v>
      </c>
      <c r="L160" s="4">
        <f t="shared" si="5"/>
        <v>0</v>
      </c>
      <c r="M160" t="s">
        <v>85</v>
      </c>
    </row>
    <row r="161" spans="1:13" ht="16.05" customHeight="1">
      <c r="A161" t="s">
        <v>390</v>
      </c>
      <c r="B161" t="s">
        <v>389</v>
      </c>
      <c r="C161" t="s">
        <v>30</v>
      </c>
      <c r="D161" t="s">
        <v>392</v>
      </c>
      <c r="E161" t="s">
        <v>82</v>
      </c>
      <c r="F161" t="s">
        <v>84</v>
      </c>
      <c r="G161" t="s">
        <v>45</v>
      </c>
      <c r="H161" t="s">
        <v>53</v>
      </c>
      <c r="I161" s="4">
        <f>IFERROR(VLOOKUP(G161,SKU_Cost_Input!$A$2:$E$15,4,FALSE),0)</f>
        <v>0</v>
      </c>
      <c r="J161" s="4">
        <f>IFERROR(VLOOKUP(G161,SKU_Cost_Input!$A$2:$E$15,2,FALSE),0)</f>
        <v>14</v>
      </c>
      <c r="K161" s="4">
        <f t="shared" si="4"/>
        <v>0</v>
      </c>
      <c r="L161" s="4">
        <f t="shared" si="5"/>
        <v>0</v>
      </c>
      <c r="M161" t="s">
        <v>85</v>
      </c>
    </row>
    <row r="162" spans="1:13" ht="16.05" customHeight="1">
      <c r="A162" t="s">
        <v>390</v>
      </c>
      <c r="B162" t="s">
        <v>389</v>
      </c>
      <c r="C162" t="s">
        <v>30</v>
      </c>
      <c r="D162" t="s">
        <v>392</v>
      </c>
      <c r="E162" t="s">
        <v>82</v>
      </c>
      <c r="F162" t="s">
        <v>84</v>
      </c>
      <c r="G162" t="s">
        <v>43</v>
      </c>
      <c r="H162" t="s">
        <v>54</v>
      </c>
      <c r="I162" s="4">
        <f>IFERROR(VLOOKUP(G162,SKU_Cost_Input!$A$2:$E$15,4,FALSE),0)</f>
        <v>0</v>
      </c>
      <c r="J162" s="4">
        <f>IFERROR(VLOOKUP(G162,SKU_Cost_Input!$A$2:$E$15,2,FALSE),0)</f>
        <v>50</v>
      </c>
      <c r="K162" s="4">
        <f t="shared" si="4"/>
        <v>0</v>
      </c>
      <c r="L162" s="4">
        <f t="shared" si="5"/>
        <v>0</v>
      </c>
      <c r="M162" t="s">
        <v>85</v>
      </c>
    </row>
    <row r="163" spans="1:13" ht="16.05" customHeight="1">
      <c r="A163" t="s">
        <v>390</v>
      </c>
      <c r="B163" t="s">
        <v>389</v>
      </c>
      <c r="C163" t="s">
        <v>30</v>
      </c>
      <c r="D163" t="s">
        <v>392</v>
      </c>
      <c r="E163" t="s">
        <v>82</v>
      </c>
      <c r="F163" t="s">
        <v>84</v>
      </c>
      <c r="G163" t="s">
        <v>42</v>
      </c>
      <c r="H163" t="s">
        <v>54</v>
      </c>
      <c r="I163" s="4">
        <f>IFERROR(VLOOKUP(G163,SKU_Cost_Input!$A$2:$E$15,4,FALSE),0)</f>
        <v>0</v>
      </c>
      <c r="J163" s="4">
        <f>IFERROR(VLOOKUP(G163,SKU_Cost_Input!$A$2:$E$15,2,FALSE),0)</f>
        <v>52</v>
      </c>
      <c r="K163" s="4">
        <f t="shared" si="4"/>
        <v>0</v>
      </c>
      <c r="L163" s="4">
        <f t="shared" si="5"/>
        <v>0</v>
      </c>
      <c r="M163" t="s">
        <v>85</v>
      </c>
    </row>
    <row r="164" spans="1:13" ht="16.05" customHeight="1">
      <c r="A164" t="s">
        <v>396</v>
      </c>
      <c r="B164" t="s">
        <v>395</v>
      </c>
      <c r="C164" t="s">
        <v>30</v>
      </c>
      <c r="D164" t="s">
        <v>398</v>
      </c>
      <c r="E164" t="s">
        <v>82</v>
      </c>
      <c r="F164" t="s">
        <v>84</v>
      </c>
      <c r="G164" t="s">
        <v>40</v>
      </c>
      <c r="H164" t="s">
        <v>51</v>
      </c>
      <c r="I164" s="4">
        <f>IFERROR(VLOOKUP(G164,SKU_Cost_Input!$A$2:$E$15,4,FALSE),0)</f>
        <v>0</v>
      </c>
      <c r="J164" s="4">
        <f>IFERROR(VLOOKUP(G164,SKU_Cost_Input!$A$2:$E$15,2,FALSE),0)</f>
        <v>130</v>
      </c>
      <c r="K164" s="4">
        <f t="shared" si="4"/>
        <v>0</v>
      </c>
      <c r="L164" s="4">
        <f t="shared" si="5"/>
        <v>0</v>
      </c>
      <c r="M164" t="s">
        <v>85</v>
      </c>
    </row>
    <row r="165" spans="1:13" ht="16.05" customHeight="1">
      <c r="A165" t="s">
        <v>396</v>
      </c>
      <c r="B165" t="s">
        <v>395</v>
      </c>
      <c r="C165" t="s">
        <v>30</v>
      </c>
      <c r="D165" t="s">
        <v>398</v>
      </c>
      <c r="E165" t="s">
        <v>82</v>
      </c>
      <c r="F165" t="s">
        <v>84</v>
      </c>
      <c r="G165" t="s">
        <v>43</v>
      </c>
      <c r="H165" t="s">
        <v>54</v>
      </c>
      <c r="I165" s="4">
        <f>IFERROR(VLOOKUP(G165,SKU_Cost_Input!$A$2:$E$15,4,FALSE),0)</f>
        <v>0</v>
      </c>
      <c r="J165" s="4">
        <f>IFERROR(VLOOKUP(G165,SKU_Cost_Input!$A$2:$E$15,2,FALSE),0)</f>
        <v>50</v>
      </c>
      <c r="K165" s="4">
        <f t="shared" si="4"/>
        <v>0</v>
      </c>
      <c r="L165" s="4">
        <f t="shared" si="5"/>
        <v>0</v>
      </c>
      <c r="M165" t="s">
        <v>85</v>
      </c>
    </row>
    <row r="166" spans="1:13" ht="16.05" customHeight="1">
      <c r="A166" t="s">
        <v>396</v>
      </c>
      <c r="B166" t="s">
        <v>395</v>
      </c>
      <c r="C166" t="s">
        <v>30</v>
      </c>
      <c r="D166" t="s">
        <v>398</v>
      </c>
      <c r="E166" t="s">
        <v>82</v>
      </c>
      <c r="F166" t="s">
        <v>84</v>
      </c>
      <c r="G166" t="s">
        <v>41</v>
      </c>
      <c r="H166" t="s">
        <v>53</v>
      </c>
      <c r="I166" s="4">
        <f>IFERROR(VLOOKUP(G166,SKU_Cost_Input!$A$2:$E$15,4,FALSE),0)</f>
        <v>0</v>
      </c>
      <c r="J166" s="4">
        <f>IFERROR(VLOOKUP(G166,SKU_Cost_Input!$A$2:$E$15,2,FALSE),0)</f>
        <v>100</v>
      </c>
      <c r="K166" s="4">
        <f t="shared" si="4"/>
        <v>0</v>
      </c>
      <c r="L166" s="4">
        <f t="shared" si="5"/>
        <v>0</v>
      </c>
      <c r="M166" t="s">
        <v>85</v>
      </c>
    </row>
    <row r="167" spans="1:13" ht="16.05" customHeight="1">
      <c r="A167" t="s">
        <v>401</v>
      </c>
      <c r="B167" t="s">
        <v>400</v>
      </c>
      <c r="C167" t="s">
        <v>30</v>
      </c>
      <c r="D167" t="s">
        <v>403</v>
      </c>
      <c r="E167" t="s">
        <v>82</v>
      </c>
      <c r="F167" t="s">
        <v>84</v>
      </c>
      <c r="G167" t="s">
        <v>40</v>
      </c>
      <c r="H167" t="s">
        <v>51</v>
      </c>
      <c r="I167" s="4">
        <f>IFERROR(VLOOKUP(G167,SKU_Cost_Input!$A$2:$E$15,4,FALSE),0)</f>
        <v>0</v>
      </c>
      <c r="J167" s="4">
        <f>IFERROR(VLOOKUP(G167,SKU_Cost_Input!$A$2:$E$15,2,FALSE),0)</f>
        <v>130</v>
      </c>
      <c r="K167" s="4">
        <f t="shared" si="4"/>
        <v>0</v>
      </c>
      <c r="L167" s="4">
        <f t="shared" si="5"/>
        <v>0</v>
      </c>
      <c r="M167" t="s">
        <v>85</v>
      </c>
    </row>
    <row r="168" spans="1:13" ht="16.05" customHeight="1">
      <c r="A168" t="s">
        <v>401</v>
      </c>
      <c r="B168" t="s">
        <v>400</v>
      </c>
      <c r="C168" t="s">
        <v>30</v>
      </c>
      <c r="D168" t="s">
        <v>403</v>
      </c>
      <c r="E168" t="s">
        <v>82</v>
      </c>
      <c r="F168" t="s">
        <v>84</v>
      </c>
      <c r="G168" t="s">
        <v>42</v>
      </c>
      <c r="H168" t="s">
        <v>54</v>
      </c>
      <c r="I168" s="4">
        <f>IFERROR(VLOOKUP(G168,SKU_Cost_Input!$A$2:$E$15,4,FALSE),0)</f>
        <v>0</v>
      </c>
      <c r="J168" s="4">
        <f>IFERROR(VLOOKUP(G168,SKU_Cost_Input!$A$2:$E$15,2,FALSE),0)</f>
        <v>52</v>
      </c>
      <c r="K168" s="4">
        <f t="shared" si="4"/>
        <v>0</v>
      </c>
      <c r="L168" s="4">
        <f t="shared" si="5"/>
        <v>0</v>
      </c>
      <c r="M168" t="s">
        <v>85</v>
      </c>
    </row>
    <row r="169" spans="1:13" ht="16.05" customHeight="1">
      <c r="A169" t="s">
        <v>401</v>
      </c>
      <c r="B169" t="s">
        <v>400</v>
      </c>
      <c r="C169" t="s">
        <v>30</v>
      </c>
      <c r="D169" t="s">
        <v>403</v>
      </c>
      <c r="E169" t="s">
        <v>82</v>
      </c>
      <c r="F169" t="s">
        <v>84</v>
      </c>
      <c r="G169" t="s">
        <v>41</v>
      </c>
      <c r="H169" t="s">
        <v>53</v>
      </c>
      <c r="I169" s="4">
        <f>IFERROR(VLOOKUP(G169,SKU_Cost_Input!$A$2:$E$15,4,FALSE),0)</f>
        <v>0</v>
      </c>
      <c r="J169" s="4">
        <f>IFERROR(VLOOKUP(G169,SKU_Cost_Input!$A$2:$E$15,2,FALSE),0)</f>
        <v>100</v>
      </c>
      <c r="K169" s="4">
        <f t="shared" si="4"/>
        <v>0</v>
      </c>
      <c r="L169" s="4">
        <f t="shared" si="5"/>
        <v>0</v>
      </c>
      <c r="M169" t="s">
        <v>85</v>
      </c>
    </row>
    <row r="170" spans="1:13" ht="16.05" customHeight="1">
      <c r="A170" t="s">
        <v>407</v>
      </c>
      <c r="B170" t="s">
        <v>406</v>
      </c>
      <c r="C170" t="s">
        <v>30</v>
      </c>
      <c r="D170" t="s">
        <v>409</v>
      </c>
      <c r="E170" t="s">
        <v>82</v>
      </c>
      <c r="F170" t="s">
        <v>84</v>
      </c>
      <c r="G170" t="s">
        <v>40</v>
      </c>
      <c r="H170" t="s">
        <v>51</v>
      </c>
      <c r="I170" s="4">
        <f>IFERROR(VLOOKUP(G170,SKU_Cost_Input!$A$2:$E$15,4,FALSE),0)</f>
        <v>0</v>
      </c>
      <c r="J170" s="4">
        <f>IFERROR(VLOOKUP(G170,SKU_Cost_Input!$A$2:$E$15,2,FALSE),0)</f>
        <v>130</v>
      </c>
      <c r="K170" s="4">
        <f t="shared" si="4"/>
        <v>0</v>
      </c>
      <c r="L170" s="4">
        <f t="shared" si="5"/>
        <v>0</v>
      </c>
      <c r="M170" t="s">
        <v>85</v>
      </c>
    </row>
    <row r="171" spans="1:13" ht="16.05" customHeight="1">
      <c r="A171" t="s">
        <v>407</v>
      </c>
      <c r="B171" t="s">
        <v>406</v>
      </c>
      <c r="C171" t="s">
        <v>30</v>
      </c>
      <c r="D171" t="s">
        <v>409</v>
      </c>
      <c r="E171" t="s">
        <v>82</v>
      </c>
      <c r="F171" t="s">
        <v>84</v>
      </c>
      <c r="G171" t="s">
        <v>41</v>
      </c>
      <c r="H171" t="s">
        <v>53</v>
      </c>
      <c r="I171" s="4">
        <f>IFERROR(VLOOKUP(G171,SKU_Cost_Input!$A$2:$E$15,4,FALSE),0)</f>
        <v>0</v>
      </c>
      <c r="J171" s="4">
        <f>IFERROR(VLOOKUP(G171,SKU_Cost_Input!$A$2:$E$15,2,FALSE),0)</f>
        <v>100</v>
      </c>
      <c r="K171" s="4">
        <f t="shared" si="4"/>
        <v>0</v>
      </c>
      <c r="L171" s="4">
        <f t="shared" si="5"/>
        <v>0</v>
      </c>
      <c r="M171" t="s">
        <v>85</v>
      </c>
    </row>
    <row r="172" spans="1:13" ht="16.05" customHeight="1">
      <c r="A172" t="s">
        <v>407</v>
      </c>
      <c r="B172" t="s">
        <v>406</v>
      </c>
      <c r="C172" t="s">
        <v>30</v>
      </c>
      <c r="D172" t="s">
        <v>409</v>
      </c>
      <c r="E172" t="s">
        <v>82</v>
      </c>
      <c r="F172" t="s">
        <v>84</v>
      </c>
      <c r="G172" t="s">
        <v>43</v>
      </c>
      <c r="H172" t="s">
        <v>54</v>
      </c>
      <c r="I172" s="4">
        <f>IFERROR(VLOOKUP(G172,SKU_Cost_Input!$A$2:$E$15,4,FALSE),0)</f>
        <v>0</v>
      </c>
      <c r="J172" s="4">
        <f>IFERROR(VLOOKUP(G172,SKU_Cost_Input!$A$2:$E$15,2,FALSE),0)</f>
        <v>50</v>
      </c>
      <c r="K172" s="4">
        <f t="shared" si="4"/>
        <v>0</v>
      </c>
      <c r="L172" s="4">
        <f t="shared" si="5"/>
        <v>0</v>
      </c>
      <c r="M172" t="s">
        <v>85</v>
      </c>
    </row>
    <row r="173" spans="1:13" ht="16.05" customHeight="1">
      <c r="A173" t="s">
        <v>413</v>
      </c>
      <c r="B173" t="s">
        <v>412</v>
      </c>
      <c r="C173" t="s">
        <v>30</v>
      </c>
      <c r="D173" t="s">
        <v>416</v>
      </c>
      <c r="E173" t="s">
        <v>82</v>
      </c>
      <c r="F173" t="s">
        <v>84</v>
      </c>
      <c r="G173" t="s">
        <v>40</v>
      </c>
      <c r="H173" t="s">
        <v>51</v>
      </c>
      <c r="I173" s="4">
        <f>IFERROR(VLOOKUP(G173,SKU_Cost_Input!$A$2:$E$15,4,FALSE),0)</f>
        <v>0</v>
      </c>
      <c r="J173" s="4">
        <f>IFERROR(VLOOKUP(G173,SKU_Cost_Input!$A$2:$E$15,2,FALSE),0)</f>
        <v>130</v>
      </c>
      <c r="K173" s="4">
        <f t="shared" si="4"/>
        <v>0</v>
      </c>
      <c r="L173" s="4">
        <f t="shared" si="5"/>
        <v>0</v>
      </c>
      <c r="M173" t="s">
        <v>85</v>
      </c>
    </row>
    <row r="174" spans="1:13" ht="16.05" customHeight="1">
      <c r="A174" t="s">
        <v>413</v>
      </c>
      <c r="B174" t="s">
        <v>412</v>
      </c>
      <c r="C174" t="s">
        <v>30</v>
      </c>
      <c r="D174" t="s">
        <v>416</v>
      </c>
      <c r="E174" t="s">
        <v>82</v>
      </c>
      <c r="F174" t="s">
        <v>84</v>
      </c>
      <c r="G174" t="s">
        <v>57</v>
      </c>
      <c r="H174" t="s">
        <v>51</v>
      </c>
      <c r="I174" s="4">
        <f>IFERROR(VLOOKUP(G174,SKU_Cost_Input!$A$2:$E$15,4,FALSE),0)</f>
        <v>0</v>
      </c>
      <c r="J174" s="4">
        <f>IFERROR(VLOOKUP(G174,SKU_Cost_Input!$A$2:$E$15,2,FALSE),0)</f>
        <v>6</v>
      </c>
      <c r="K174" s="4">
        <f t="shared" si="4"/>
        <v>0</v>
      </c>
      <c r="L174" s="4">
        <f t="shared" si="5"/>
        <v>0</v>
      </c>
      <c r="M174" t="s">
        <v>85</v>
      </c>
    </row>
    <row r="175" spans="1:13" ht="16.05" customHeight="1">
      <c r="A175" t="s">
        <v>413</v>
      </c>
      <c r="B175" t="s">
        <v>412</v>
      </c>
      <c r="C175" t="s">
        <v>30</v>
      </c>
      <c r="D175" t="s">
        <v>416</v>
      </c>
      <c r="E175" t="s">
        <v>82</v>
      </c>
      <c r="F175" t="s">
        <v>84</v>
      </c>
      <c r="G175" t="s">
        <v>45</v>
      </c>
      <c r="H175" t="s">
        <v>53</v>
      </c>
      <c r="I175" s="4">
        <f>IFERROR(VLOOKUP(G175,SKU_Cost_Input!$A$2:$E$15,4,FALSE),0)</f>
        <v>0</v>
      </c>
      <c r="J175" s="4">
        <f>IFERROR(VLOOKUP(G175,SKU_Cost_Input!$A$2:$E$15,2,FALSE),0)</f>
        <v>14</v>
      </c>
      <c r="K175" s="4">
        <f t="shared" si="4"/>
        <v>0</v>
      </c>
      <c r="L175" s="4">
        <f t="shared" si="5"/>
        <v>0</v>
      </c>
      <c r="M175" t="s">
        <v>85</v>
      </c>
    </row>
    <row r="176" spans="1:13" ht="16.05" customHeight="1">
      <c r="A176" t="s">
        <v>413</v>
      </c>
      <c r="B176" t="s">
        <v>412</v>
      </c>
      <c r="C176" t="s">
        <v>30</v>
      </c>
      <c r="D176" t="s">
        <v>416</v>
      </c>
      <c r="E176" t="s">
        <v>82</v>
      </c>
      <c r="F176" t="s">
        <v>84</v>
      </c>
      <c r="G176" t="s">
        <v>43</v>
      </c>
      <c r="H176" t="s">
        <v>54</v>
      </c>
      <c r="I176" s="4">
        <f>IFERROR(VLOOKUP(G176,SKU_Cost_Input!$A$2:$E$15,4,FALSE),0)</f>
        <v>0</v>
      </c>
      <c r="J176" s="4">
        <f>IFERROR(VLOOKUP(G176,SKU_Cost_Input!$A$2:$E$15,2,FALSE),0)</f>
        <v>50</v>
      </c>
      <c r="K176" s="4">
        <f t="shared" si="4"/>
        <v>0</v>
      </c>
      <c r="L176" s="4">
        <f t="shared" si="5"/>
        <v>0</v>
      </c>
      <c r="M176" t="s">
        <v>85</v>
      </c>
    </row>
    <row r="177" spans="1:13" ht="16.05" customHeight="1">
      <c r="A177" t="s">
        <v>413</v>
      </c>
      <c r="B177" t="s">
        <v>412</v>
      </c>
      <c r="C177" t="s">
        <v>30</v>
      </c>
      <c r="D177" t="s">
        <v>416</v>
      </c>
      <c r="E177" t="s">
        <v>82</v>
      </c>
      <c r="F177" t="s">
        <v>84</v>
      </c>
      <c r="G177" t="s">
        <v>42</v>
      </c>
      <c r="H177" t="s">
        <v>54</v>
      </c>
      <c r="I177" s="4">
        <f>IFERROR(VLOOKUP(G177,SKU_Cost_Input!$A$2:$E$15,4,FALSE),0)</f>
        <v>0</v>
      </c>
      <c r="J177" s="4">
        <f>IFERROR(VLOOKUP(G177,SKU_Cost_Input!$A$2:$E$15,2,FALSE),0)</f>
        <v>52</v>
      </c>
      <c r="K177" s="4">
        <f t="shared" si="4"/>
        <v>0</v>
      </c>
      <c r="L177" s="4">
        <f t="shared" si="5"/>
        <v>0</v>
      </c>
      <c r="M177" t="s">
        <v>85</v>
      </c>
    </row>
    <row r="178" spans="1:13" ht="16.05" customHeight="1">
      <c r="A178" t="s">
        <v>420</v>
      </c>
      <c r="B178" t="s">
        <v>419</v>
      </c>
      <c r="C178" t="s">
        <v>30</v>
      </c>
      <c r="D178" t="s">
        <v>422</v>
      </c>
      <c r="E178" t="s">
        <v>82</v>
      </c>
      <c r="F178" t="s">
        <v>84</v>
      </c>
      <c r="G178" t="s">
        <v>44</v>
      </c>
      <c r="H178" t="s">
        <v>53</v>
      </c>
      <c r="I178" s="4">
        <f>IFERROR(VLOOKUP(G178,SKU_Cost_Input!$A$2:$E$15,4,FALSE),0)</f>
        <v>0</v>
      </c>
      <c r="J178" s="4">
        <f>IFERROR(VLOOKUP(G178,SKU_Cost_Input!$A$2:$E$15,2,FALSE),0)</f>
        <v>21</v>
      </c>
      <c r="K178" s="4">
        <f t="shared" si="4"/>
        <v>0</v>
      </c>
      <c r="L178" s="4">
        <f t="shared" si="5"/>
        <v>0</v>
      </c>
      <c r="M178" t="s">
        <v>85</v>
      </c>
    </row>
    <row r="179" spans="1:13" ht="16.05" customHeight="1">
      <c r="A179" t="s">
        <v>420</v>
      </c>
      <c r="B179" t="s">
        <v>419</v>
      </c>
      <c r="C179" t="s">
        <v>30</v>
      </c>
      <c r="D179" t="s">
        <v>422</v>
      </c>
      <c r="E179" t="s">
        <v>82</v>
      </c>
      <c r="F179" t="s">
        <v>84</v>
      </c>
      <c r="G179" t="s">
        <v>40</v>
      </c>
      <c r="H179" t="s">
        <v>51</v>
      </c>
      <c r="I179" s="4">
        <f>IFERROR(VLOOKUP(G179,SKU_Cost_Input!$A$2:$E$15,4,FALSE),0)</f>
        <v>0</v>
      </c>
      <c r="J179" s="4">
        <f>IFERROR(VLOOKUP(G179,SKU_Cost_Input!$A$2:$E$15,2,FALSE),0)</f>
        <v>130</v>
      </c>
      <c r="K179" s="4">
        <f t="shared" si="4"/>
        <v>0</v>
      </c>
      <c r="L179" s="4">
        <f t="shared" si="5"/>
        <v>0</v>
      </c>
      <c r="M179" t="s">
        <v>85</v>
      </c>
    </row>
    <row r="180" spans="1:13" ht="16.05" customHeight="1">
      <c r="A180" t="s">
        <v>420</v>
      </c>
      <c r="B180" t="s">
        <v>419</v>
      </c>
      <c r="C180" t="s">
        <v>30</v>
      </c>
      <c r="D180" t="s">
        <v>422</v>
      </c>
      <c r="E180" t="s">
        <v>82</v>
      </c>
      <c r="F180" t="s">
        <v>84</v>
      </c>
      <c r="G180" t="s">
        <v>42</v>
      </c>
      <c r="H180" t="s">
        <v>54</v>
      </c>
      <c r="I180" s="4">
        <f>IFERROR(VLOOKUP(G180,SKU_Cost_Input!$A$2:$E$15,4,FALSE),0)</f>
        <v>0</v>
      </c>
      <c r="J180" s="4">
        <f>IFERROR(VLOOKUP(G180,SKU_Cost_Input!$A$2:$E$15,2,FALSE),0)</f>
        <v>52</v>
      </c>
      <c r="K180" s="4">
        <f t="shared" si="4"/>
        <v>0</v>
      </c>
      <c r="L180" s="4">
        <f t="shared" si="5"/>
        <v>0</v>
      </c>
      <c r="M180" t="s">
        <v>85</v>
      </c>
    </row>
    <row r="181" spans="1:13" ht="16.05" customHeight="1">
      <c r="A181" t="s">
        <v>420</v>
      </c>
      <c r="B181" t="s">
        <v>419</v>
      </c>
      <c r="C181" t="s">
        <v>30</v>
      </c>
      <c r="D181" t="s">
        <v>422</v>
      </c>
      <c r="E181" t="s">
        <v>82</v>
      </c>
      <c r="F181" t="s">
        <v>84</v>
      </c>
      <c r="G181" t="s">
        <v>43</v>
      </c>
      <c r="H181" t="s">
        <v>54</v>
      </c>
      <c r="I181" s="4">
        <f>IFERROR(VLOOKUP(G181,SKU_Cost_Input!$A$2:$E$15,4,FALSE),0)</f>
        <v>0</v>
      </c>
      <c r="J181" s="4">
        <f>IFERROR(VLOOKUP(G181,SKU_Cost_Input!$A$2:$E$15,2,FALSE),0)</f>
        <v>50</v>
      </c>
      <c r="K181" s="4">
        <f t="shared" si="4"/>
        <v>0</v>
      </c>
      <c r="L181" s="4">
        <f t="shared" si="5"/>
        <v>0</v>
      </c>
      <c r="M181" t="s">
        <v>85</v>
      </c>
    </row>
    <row r="182" spans="1:13" ht="16.05" customHeight="1">
      <c r="A182" t="s">
        <v>426</v>
      </c>
      <c r="B182" t="s">
        <v>425</v>
      </c>
      <c r="C182" t="s">
        <v>30</v>
      </c>
      <c r="D182" t="s">
        <v>428</v>
      </c>
      <c r="E182" t="s">
        <v>82</v>
      </c>
      <c r="F182" t="s">
        <v>84</v>
      </c>
      <c r="G182" t="s">
        <v>40</v>
      </c>
      <c r="H182" t="s">
        <v>51</v>
      </c>
      <c r="I182" s="4">
        <f>IFERROR(VLOOKUP(G182,SKU_Cost_Input!$A$2:$E$15,4,FALSE),0)</f>
        <v>0</v>
      </c>
      <c r="J182" s="4">
        <f>IFERROR(VLOOKUP(G182,SKU_Cost_Input!$A$2:$E$15,2,FALSE),0)</f>
        <v>130</v>
      </c>
      <c r="K182" s="4">
        <f t="shared" si="4"/>
        <v>0</v>
      </c>
      <c r="L182" s="4">
        <f t="shared" si="5"/>
        <v>0</v>
      </c>
      <c r="M182" t="s">
        <v>85</v>
      </c>
    </row>
    <row r="183" spans="1:13" ht="16.05" customHeight="1">
      <c r="A183" t="s">
        <v>426</v>
      </c>
      <c r="B183" t="s">
        <v>425</v>
      </c>
      <c r="C183" t="s">
        <v>30</v>
      </c>
      <c r="D183" t="s">
        <v>428</v>
      </c>
      <c r="E183" t="s">
        <v>82</v>
      </c>
      <c r="F183" t="s">
        <v>84</v>
      </c>
      <c r="G183" t="s">
        <v>41</v>
      </c>
      <c r="H183" t="s">
        <v>53</v>
      </c>
      <c r="I183" s="4">
        <f>IFERROR(VLOOKUP(G183,SKU_Cost_Input!$A$2:$E$15,4,FALSE),0)</f>
        <v>0</v>
      </c>
      <c r="J183" s="4">
        <f>IFERROR(VLOOKUP(G183,SKU_Cost_Input!$A$2:$E$15,2,FALSE),0)</f>
        <v>100</v>
      </c>
      <c r="K183" s="4">
        <f t="shared" si="4"/>
        <v>0</v>
      </c>
      <c r="L183" s="4">
        <f t="shared" si="5"/>
        <v>0</v>
      </c>
      <c r="M183" t="s">
        <v>85</v>
      </c>
    </row>
    <row r="184" spans="1:13" ht="16.05" customHeight="1">
      <c r="A184" t="s">
        <v>432</v>
      </c>
      <c r="B184" t="s">
        <v>431</v>
      </c>
      <c r="C184" t="s">
        <v>30</v>
      </c>
      <c r="E184" t="s">
        <v>279</v>
      </c>
      <c r="F184" t="s">
        <v>84</v>
      </c>
      <c r="G184" t="s">
        <v>40</v>
      </c>
      <c r="H184" t="s">
        <v>51</v>
      </c>
      <c r="I184" s="4">
        <f>IFERROR(VLOOKUP(G184,SKU_Cost_Input!$A$2:$E$15,4,FALSE),0)</f>
        <v>0</v>
      </c>
      <c r="J184" s="4">
        <f>IFERROR(VLOOKUP(G184,SKU_Cost_Input!$A$2:$E$15,2,FALSE),0)</f>
        <v>130</v>
      </c>
      <c r="K184" s="4">
        <f t="shared" si="4"/>
        <v>0</v>
      </c>
      <c r="L184" s="4">
        <f t="shared" si="5"/>
        <v>0</v>
      </c>
      <c r="M184" t="s">
        <v>280</v>
      </c>
    </row>
    <row r="185" spans="1:13" ht="16.05" customHeight="1">
      <c r="A185" t="s">
        <v>432</v>
      </c>
      <c r="B185" t="s">
        <v>431</v>
      </c>
      <c r="C185" t="s">
        <v>30</v>
      </c>
      <c r="E185" t="s">
        <v>279</v>
      </c>
      <c r="F185" t="s">
        <v>84</v>
      </c>
      <c r="G185" t="s">
        <v>41</v>
      </c>
      <c r="H185" t="s">
        <v>53</v>
      </c>
      <c r="I185" s="4">
        <f>IFERROR(VLOOKUP(G185,SKU_Cost_Input!$A$2:$E$15,4,FALSE),0)</f>
        <v>0</v>
      </c>
      <c r="J185" s="4">
        <f>IFERROR(VLOOKUP(G185,SKU_Cost_Input!$A$2:$E$15,2,FALSE),0)</f>
        <v>100</v>
      </c>
      <c r="K185" s="4">
        <f t="shared" si="4"/>
        <v>0</v>
      </c>
      <c r="L185" s="4">
        <f t="shared" si="5"/>
        <v>0</v>
      </c>
      <c r="M185" t="s">
        <v>280</v>
      </c>
    </row>
    <row r="186" spans="1:13" ht="16.05" customHeight="1">
      <c r="A186" t="s">
        <v>434</v>
      </c>
      <c r="B186" t="s">
        <v>433</v>
      </c>
      <c r="C186" t="s">
        <v>30</v>
      </c>
      <c r="D186" t="s">
        <v>437</v>
      </c>
      <c r="E186" t="s">
        <v>82</v>
      </c>
      <c r="F186" t="s">
        <v>84</v>
      </c>
      <c r="G186" t="s">
        <v>40</v>
      </c>
      <c r="H186" t="s">
        <v>51</v>
      </c>
      <c r="I186" s="4">
        <f>IFERROR(VLOOKUP(G186,SKU_Cost_Input!$A$2:$E$15,4,FALSE),0)</f>
        <v>0</v>
      </c>
      <c r="J186" s="4">
        <f>IFERROR(VLOOKUP(G186,SKU_Cost_Input!$A$2:$E$15,2,FALSE),0)</f>
        <v>130</v>
      </c>
      <c r="K186" s="4">
        <f t="shared" si="4"/>
        <v>0</v>
      </c>
      <c r="L186" s="4">
        <f t="shared" si="5"/>
        <v>0</v>
      </c>
      <c r="M186" t="s">
        <v>85</v>
      </c>
    </row>
    <row r="187" spans="1:13" ht="16.05" customHeight="1">
      <c r="A187" t="s">
        <v>434</v>
      </c>
      <c r="B187" t="s">
        <v>433</v>
      </c>
      <c r="C187" t="s">
        <v>30</v>
      </c>
      <c r="D187" t="s">
        <v>437</v>
      </c>
      <c r="E187" t="s">
        <v>82</v>
      </c>
      <c r="F187" t="s">
        <v>84</v>
      </c>
      <c r="G187" t="s">
        <v>42</v>
      </c>
      <c r="H187" t="s">
        <v>54</v>
      </c>
      <c r="I187" s="4">
        <f>IFERROR(VLOOKUP(G187,SKU_Cost_Input!$A$2:$E$15,4,FALSE),0)</f>
        <v>0</v>
      </c>
      <c r="J187" s="4">
        <f>IFERROR(VLOOKUP(G187,SKU_Cost_Input!$A$2:$E$15,2,FALSE),0)</f>
        <v>52</v>
      </c>
      <c r="K187" s="4">
        <f t="shared" si="4"/>
        <v>0</v>
      </c>
      <c r="L187" s="4">
        <f t="shared" si="5"/>
        <v>0</v>
      </c>
      <c r="M187" t="s">
        <v>85</v>
      </c>
    </row>
    <row r="188" spans="1:13" ht="16.05" customHeight="1">
      <c r="A188" t="s">
        <v>434</v>
      </c>
      <c r="B188" t="s">
        <v>433</v>
      </c>
      <c r="C188" t="s">
        <v>30</v>
      </c>
      <c r="D188" t="s">
        <v>437</v>
      </c>
      <c r="E188" t="s">
        <v>82</v>
      </c>
      <c r="F188" t="s">
        <v>84</v>
      </c>
      <c r="G188" t="s">
        <v>41</v>
      </c>
      <c r="H188" t="s">
        <v>53</v>
      </c>
      <c r="I188" s="4">
        <f>IFERROR(VLOOKUP(G188,SKU_Cost_Input!$A$2:$E$15,4,FALSE),0)</f>
        <v>0</v>
      </c>
      <c r="J188" s="4">
        <f>IFERROR(VLOOKUP(G188,SKU_Cost_Input!$A$2:$E$15,2,FALSE),0)</f>
        <v>100</v>
      </c>
      <c r="K188" s="4">
        <f t="shared" si="4"/>
        <v>0</v>
      </c>
      <c r="L188" s="4">
        <f t="shared" si="5"/>
        <v>0</v>
      </c>
      <c r="M188" t="s">
        <v>85</v>
      </c>
    </row>
    <row r="189" spans="1:13" ht="16.05" customHeight="1">
      <c r="A189" t="s">
        <v>440</v>
      </c>
      <c r="B189" t="s">
        <v>439</v>
      </c>
      <c r="C189" t="s">
        <v>30</v>
      </c>
      <c r="D189" t="s">
        <v>443</v>
      </c>
      <c r="E189" t="s">
        <v>82</v>
      </c>
      <c r="F189" t="s">
        <v>84</v>
      </c>
      <c r="G189" t="s">
        <v>40</v>
      </c>
      <c r="H189" t="s">
        <v>51</v>
      </c>
      <c r="I189" s="4">
        <f>IFERROR(VLOOKUP(G189,SKU_Cost_Input!$A$2:$E$15,4,FALSE),0)</f>
        <v>0</v>
      </c>
      <c r="J189" s="4">
        <f>IFERROR(VLOOKUP(G189,SKU_Cost_Input!$A$2:$E$15,2,FALSE),0)</f>
        <v>130</v>
      </c>
      <c r="K189" s="4">
        <f t="shared" si="4"/>
        <v>0</v>
      </c>
      <c r="L189" s="4">
        <f t="shared" si="5"/>
        <v>0</v>
      </c>
      <c r="M189" t="s">
        <v>85</v>
      </c>
    </row>
    <row r="190" spans="1:13" ht="16.05" customHeight="1">
      <c r="A190" t="s">
        <v>440</v>
      </c>
      <c r="B190" t="s">
        <v>439</v>
      </c>
      <c r="C190" t="s">
        <v>30</v>
      </c>
      <c r="D190" t="s">
        <v>443</v>
      </c>
      <c r="E190" t="s">
        <v>82</v>
      </c>
      <c r="F190" t="s">
        <v>84</v>
      </c>
      <c r="G190" t="s">
        <v>43</v>
      </c>
      <c r="H190" t="s">
        <v>54</v>
      </c>
      <c r="I190" s="4">
        <f>IFERROR(VLOOKUP(G190,SKU_Cost_Input!$A$2:$E$15,4,FALSE),0)</f>
        <v>0</v>
      </c>
      <c r="J190" s="4">
        <f>IFERROR(VLOOKUP(G190,SKU_Cost_Input!$A$2:$E$15,2,FALSE),0)</f>
        <v>50</v>
      </c>
      <c r="K190" s="4">
        <f t="shared" si="4"/>
        <v>0</v>
      </c>
      <c r="L190" s="4">
        <f t="shared" si="5"/>
        <v>0</v>
      </c>
      <c r="M190" t="s">
        <v>85</v>
      </c>
    </row>
    <row r="191" spans="1:13" ht="16.05" customHeight="1">
      <c r="A191" t="s">
        <v>440</v>
      </c>
      <c r="B191" t="s">
        <v>439</v>
      </c>
      <c r="C191" t="s">
        <v>30</v>
      </c>
      <c r="D191" t="s">
        <v>443</v>
      </c>
      <c r="E191" t="s">
        <v>82</v>
      </c>
      <c r="F191" t="s">
        <v>84</v>
      </c>
      <c r="G191" t="s">
        <v>41</v>
      </c>
      <c r="H191" t="s">
        <v>53</v>
      </c>
      <c r="I191" s="4">
        <f>IFERROR(VLOOKUP(G191,SKU_Cost_Input!$A$2:$E$15,4,FALSE),0)</f>
        <v>0</v>
      </c>
      <c r="J191" s="4">
        <f>IFERROR(VLOOKUP(G191,SKU_Cost_Input!$A$2:$E$15,2,FALSE),0)</f>
        <v>100</v>
      </c>
      <c r="K191" s="4">
        <f t="shared" si="4"/>
        <v>0</v>
      </c>
      <c r="L191" s="4">
        <f t="shared" si="5"/>
        <v>0</v>
      </c>
      <c r="M191" t="s">
        <v>85</v>
      </c>
    </row>
    <row r="192" spans="1:13" ht="16.05" customHeight="1">
      <c r="A192" t="s">
        <v>440</v>
      </c>
      <c r="B192" t="s">
        <v>439</v>
      </c>
      <c r="C192" t="s">
        <v>30</v>
      </c>
      <c r="D192" t="s">
        <v>443</v>
      </c>
      <c r="E192" t="s">
        <v>82</v>
      </c>
      <c r="F192" t="s">
        <v>84</v>
      </c>
      <c r="G192" t="s">
        <v>42</v>
      </c>
      <c r="H192" t="s">
        <v>54</v>
      </c>
      <c r="I192" s="4">
        <f>IFERROR(VLOOKUP(G192,SKU_Cost_Input!$A$2:$E$15,4,FALSE),0)</f>
        <v>0</v>
      </c>
      <c r="J192" s="4">
        <f>IFERROR(VLOOKUP(G192,SKU_Cost_Input!$A$2:$E$15,2,FALSE),0)</f>
        <v>52</v>
      </c>
      <c r="K192" s="4">
        <f t="shared" si="4"/>
        <v>0</v>
      </c>
      <c r="L192" s="4">
        <f t="shared" si="5"/>
        <v>0</v>
      </c>
      <c r="M192" t="s">
        <v>85</v>
      </c>
    </row>
    <row r="193" spans="1:13" ht="16.05" customHeight="1">
      <c r="A193" t="s">
        <v>447</v>
      </c>
      <c r="B193" t="s">
        <v>446</v>
      </c>
      <c r="C193" t="s">
        <v>30</v>
      </c>
      <c r="D193" t="s">
        <v>449</v>
      </c>
      <c r="E193" t="s">
        <v>82</v>
      </c>
      <c r="F193" t="s">
        <v>84</v>
      </c>
      <c r="G193" t="s">
        <v>44</v>
      </c>
      <c r="H193" t="s">
        <v>53</v>
      </c>
      <c r="I193" s="4">
        <f>IFERROR(VLOOKUP(G193,SKU_Cost_Input!$A$2:$E$15,4,FALSE),0)</f>
        <v>0</v>
      </c>
      <c r="J193" s="4">
        <f>IFERROR(VLOOKUP(G193,SKU_Cost_Input!$A$2:$E$15,2,FALSE),0)</f>
        <v>21</v>
      </c>
      <c r="K193" s="4">
        <f t="shared" si="4"/>
        <v>0</v>
      </c>
      <c r="L193" s="4">
        <f t="shared" si="5"/>
        <v>0</v>
      </c>
      <c r="M193" t="s">
        <v>85</v>
      </c>
    </row>
    <row r="194" spans="1:13" ht="16.05" customHeight="1">
      <c r="A194" t="s">
        <v>447</v>
      </c>
      <c r="B194" t="s">
        <v>446</v>
      </c>
      <c r="C194" t="s">
        <v>30</v>
      </c>
      <c r="D194" t="s">
        <v>449</v>
      </c>
      <c r="E194" t="s">
        <v>82</v>
      </c>
      <c r="F194" t="s">
        <v>84</v>
      </c>
      <c r="G194" t="s">
        <v>40</v>
      </c>
      <c r="H194" t="s">
        <v>51</v>
      </c>
      <c r="I194" s="4">
        <f>IFERROR(VLOOKUP(G194,SKU_Cost_Input!$A$2:$E$15,4,FALSE),0)</f>
        <v>0</v>
      </c>
      <c r="J194" s="4">
        <f>IFERROR(VLOOKUP(G194,SKU_Cost_Input!$A$2:$E$15,2,FALSE),0)</f>
        <v>130</v>
      </c>
      <c r="K194" s="4">
        <f t="shared" ref="K194:K257" si="6">IF(J194=0,0,I194/J194)</f>
        <v>0</v>
      </c>
      <c r="L194" s="4">
        <f t="shared" ref="L194:L257" si="7">K194</f>
        <v>0</v>
      </c>
      <c r="M194" t="s">
        <v>85</v>
      </c>
    </row>
    <row r="195" spans="1:13" ht="16.05" customHeight="1">
      <c r="A195" t="s">
        <v>447</v>
      </c>
      <c r="B195" t="s">
        <v>446</v>
      </c>
      <c r="C195" t="s">
        <v>30</v>
      </c>
      <c r="D195" t="s">
        <v>449</v>
      </c>
      <c r="E195" t="s">
        <v>82</v>
      </c>
      <c r="F195" t="s">
        <v>84</v>
      </c>
      <c r="G195" t="s">
        <v>43</v>
      </c>
      <c r="H195" t="s">
        <v>54</v>
      </c>
      <c r="I195" s="4">
        <f>IFERROR(VLOOKUP(G195,SKU_Cost_Input!$A$2:$E$15,4,FALSE),0)</f>
        <v>0</v>
      </c>
      <c r="J195" s="4">
        <f>IFERROR(VLOOKUP(G195,SKU_Cost_Input!$A$2:$E$15,2,FALSE),0)</f>
        <v>50</v>
      </c>
      <c r="K195" s="4">
        <f t="shared" si="6"/>
        <v>0</v>
      </c>
      <c r="L195" s="4">
        <f t="shared" si="7"/>
        <v>0</v>
      </c>
      <c r="M195" t="s">
        <v>85</v>
      </c>
    </row>
    <row r="196" spans="1:13" ht="16.05" customHeight="1">
      <c r="A196" t="s">
        <v>447</v>
      </c>
      <c r="B196" t="s">
        <v>446</v>
      </c>
      <c r="C196" t="s">
        <v>30</v>
      </c>
      <c r="D196" t="s">
        <v>449</v>
      </c>
      <c r="E196" t="s">
        <v>82</v>
      </c>
      <c r="F196" t="s">
        <v>84</v>
      </c>
      <c r="G196" t="s">
        <v>42</v>
      </c>
      <c r="H196" t="s">
        <v>54</v>
      </c>
      <c r="I196" s="4">
        <f>IFERROR(VLOOKUP(G196,SKU_Cost_Input!$A$2:$E$15,4,FALSE),0)</f>
        <v>0</v>
      </c>
      <c r="J196" s="4">
        <f>IFERROR(VLOOKUP(G196,SKU_Cost_Input!$A$2:$E$15,2,FALSE),0)</f>
        <v>52</v>
      </c>
      <c r="K196" s="4">
        <f t="shared" si="6"/>
        <v>0</v>
      </c>
      <c r="L196" s="4">
        <f t="shared" si="7"/>
        <v>0</v>
      </c>
      <c r="M196" t="s">
        <v>85</v>
      </c>
    </row>
    <row r="197" spans="1:13" ht="16.05" customHeight="1">
      <c r="A197" t="s">
        <v>453</v>
      </c>
      <c r="B197" t="s">
        <v>452</v>
      </c>
      <c r="C197" t="s">
        <v>30</v>
      </c>
      <c r="D197" t="s">
        <v>455</v>
      </c>
      <c r="E197" t="s">
        <v>82</v>
      </c>
      <c r="F197" t="s">
        <v>84</v>
      </c>
      <c r="G197" t="s">
        <v>40</v>
      </c>
      <c r="H197" t="s">
        <v>51</v>
      </c>
      <c r="I197" s="4">
        <f>IFERROR(VLOOKUP(G197,SKU_Cost_Input!$A$2:$E$15,4,FALSE),0)</f>
        <v>0</v>
      </c>
      <c r="J197" s="4">
        <f>IFERROR(VLOOKUP(G197,SKU_Cost_Input!$A$2:$E$15,2,FALSE),0)</f>
        <v>130</v>
      </c>
      <c r="K197" s="4">
        <f t="shared" si="6"/>
        <v>0</v>
      </c>
      <c r="L197" s="4">
        <f t="shared" si="7"/>
        <v>0</v>
      </c>
      <c r="M197" t="s">
        <v>85</v>
      </c>
    </row>
    <row r="198" spans="1:13" ht="16.05" customHeight="1">
      <c r="A198" t="s">
        <v>453</v>
      </c>
      <c r="B198" t="s">
        <v>452</v>
      </c>
      <c r="C198" t="s">
        <v>30</v>
      </c>
      <c r="D198" t="s">
        <v>455</v>
      </c>
      <c r="E198" t="s">
        <v>82</v>
      </c>
      <c r="F198" t="s">
        <v>84</v>
      </c>
      <c r="G198" t="s">
        <v>41</v>
      </c>
      <c r="H198" t="s">
        <v>53</v>
      </c>
      <c r="I198" s="4">
        <f>IFERROR(VLOOKUP(G198,SKU_Cost_Input!$A$2:$E$15,4,FALSE),0)</f>
        <v>0</v>
      </c>
      <c r="J198" s="4">
        <f>IFERROR(VLOOKUP(G198,SKU_Cost_Input!$A$2:$E$15,2,FALSE),0)</f>
        <v>100</v>
      </c>
      <c r="K198" s="4">
        <f t="shared" si="6"/>
        <v>0</v>
      </c>
      <c r="L198" s="4">
        <f t="shared" si="7"/>
        <v>0</v>
      </c>
      <c r="M198" t="s">
        <v>85</v>
      </c>
    </row>
    <row r="199" spans="1:13" ht="16.05" customHeight="1">
      <c r="A199" t="s">
        <v>458</v>
      </c>
      <c r="B199" t="s">
        <v>457</v>
      </c>
      <c r="C199" t="s">
        <v>30</v>
      </c>
      <c r="D199" t="s">
        <v>460</v>
      </c>
      <c r="E199" t="s">
        <v>82</v>
      </c>
      <c r="F199" t="s">
        <v>84</v>
      </c>
      <c r="G199" t="s">
        <v>40</v>
      </c>
      <c r="H199" t="s">
        <v>51</v>
      </c>
      <c r="I199" s="4">
        <f>IFERROR(VLOOKUP(G199,SKU_Cost_Input!$A$2:$E$15,4,FALSE),0)</f>
        <v>0</v>
      </c>
      <c r="J199" s="4">
        <f>IFERROR(VLOOKUP(G199,SKU_Cost_Input!$A$2:$E$15,2,FALSE),0)</f>
        <v>130</v>
      </c>
      <c r="K199" s="4">
        <f t="shared" si="6"/>
        <v>0</v>
      </c>
      <c r="L199" s="4">
        <f t="shared" si="7"/>
        <v>0</v>
      </c>
      <c r="M199" t="s">
        <v>85</v>
      </c>
    </row>
    <row r="200" spans="1:13" ht="16.05" customHeight="1">
      <c r="A200" t="s">
        <v>458</v>
      </c>
      <c r="B200" t="s">
        <v>457</v>
      </c>
      <c r="C200" t="s">
        <v>30</v>
      </c>
      <c r="D200" t="s">
        <v>460</v>
      </c>
      <c r="E200" t="s">
        <v>82</v>
      </c>
      <c r="F200" t="s">
        <v>84</v>
      </c>
      <c r="G200" t="s">
        <v>41</v>
      </c>
      <c r="H200" t="s">
        <v>53</v>
      </c>
      <c r="I200" s="4">
        <f>IFERROR(VLOOKUP(G200,SKU_Cost_Input!$A$2:$E$15,4,FALSE),0)</f>
        <v>0</v>
      </c>
      <c r="J200" s="4">
        <f>IFERROR(VLOOKUP(G200,SKU_Cost_Input!$A$2:$E$15,2,FALSE),0)</f>
        <v>100</v>
      </c>
      <c r="K200" s="4">
        <f t="shared" si="6"/>
        <v>0</v>
      </c>
      <c r="L200" s="4">
        <f t="shared" si="7"/>
        <v>0</v>
      </c>
      <c r="M200" t="s">
        <v>85</v>
      </c>
    </row>
    <row r="201" spans="1:13" ht="16.05" customHeight="1">
      <c r="A201" t="s">
        <v>463</v>
      </c>
      <c r="B201" t="s">
        <v>462</v>
      </c>
      <c r="C201" t="s">
        <v>30</v>
      </c>
      <c r="D201" t="s">
        <v>465</v>
      </c>
      <c r="E201" t="s">
        <v>82</v>
      </c>
      <c r="F201" t="s">
        <v>84</v>
      </c>
      <c r="G201" t="s">
        <v>40</v>
      </c>
      <c r="H201" t="s">
        <v>51</v>
      </c>
      <c r="I201" s="4">
        <f>IFERROR(VLOOKUP(G201,SKU_Cost_Input!$A$2:$E$15,4,FALSE),0)</f>
        <v>0</v>
      </c>
      <c r="J201" s="4">
        <f>IFERROR(VLOOKUP(G201,SKU_Cost_Input!$A$2:$E$15,2,FALSE),0)</f>
        <v>130</v>
      </c>
      <c r="K201" s="4">
        <f t="shared" si="6"/>
        <v>0</v>
      </c>
      <c r="L201" s="4">
        <f t="shared" si="7"/>
        <v>0</v>
      </c>
      <c r="M201" t="s">
        <v>85</v>
      </c>
    </row>
    <row r="202" spans="1:13" ht="16.05" customHeight="1">
      <c r="A202" t="s">
        <v>463</v>
      </c>
      <c r="B202" t="s">
        <v>462</v>
      </c>
      <c r="C202" t="s">
        <v>30</v>
      </c>
      <c r="D202" t="s">
        <v>465</v>
      </c>
      <c r="E202" t="s">
        <v>82</v>
      </c>
      <c r="F202" t="s">
        <v>84</v>
      </c>
      <c r="G202" t="s">
        <v>41</v>
      </c>
      <c r="H202" t="s">
        <v>53</v>
      </c>
      <c r="I202" s="4">
        <f>IFERROR(VLOOKUP(G202,SKU_Cost_Input!$A$2:$E$15,4,FALSE),0)</f>
        <v>0</v>
      </c>
      <c r="J202" s="4">
        <f>IFERROR(VLOOKUP(G202,SKU_Cost_Input!$A$2:$E$15,2,FALSE),0)</f>
        <v>100</v>
      </c>
      <c r="K202" s="4">
        <f t="shared" si="6"/>
        <v>0</v>
      </c>
      <c r="L202" s="4">
        <f t="shared" si="7"/>
        <v>0</v>
      </c>
      <c r="M202" t="s">
        <v>85</v>
      </c>
    </row>
    <row r="203" spans="1:13" ht="16.05" customHeight="1">
      <c r="A203" t="s">
        <v>469</v>
      </c>
      <c r="B203" t="s">
        <v>468</v>
      </c>
      <c r="C203" t="s">
        <v>30</v>
      </c>
      <c r="D203" t="s">
        <v>472</v>
      </c>
      <c r="E203" t="s">
        <v>82</v>
      </c>
      <c r="F203" t="s">
        <v>84</v>
      </c>
      <c r="G203" t="s">
        <v>40</v>
      </c>
      <c r="H203" t="s">
        <v>51</v>
      </c>
      <c r="I203" s="4">
        <f>IFERROR(VLOOKUP(G203,SKU_Cost_Input!$A$2:$E$15,4,FALSE),0)</f>
        <v>0</v>
      </c>
      <c r="J203" s="4">
        <f>IFERROR(VLOOKUP(G203,SKU_Cost_Input!$A$2:$E$15,2,FALSE),0)</f>
        <v>130</v>
      </c>
      <c r="K203" s="4">
        <f t="shared" si="6"/>
        <v>0</v>
      </c>
      <c r="L203" s="4">
        <f t="shared" si="7"/>
        <v>0</v>
      </c>
      <c r="M203" t="s">
        <v>85</v>
      </c>
    </row>
    <row r="204" spans="1:13" ht="16.05" customHeight="1">
      <c r="A204" t="s">
        <v>469</v>
      </c>
      <c r="B204" t="s">
        <v>468</v>
      </c>
      <c r="C204" t="s">
        <v>30</v>
      </c>
      <c r="D204" t="s">
        <v>472</v>
      </c>
      <c r="E204" t="s">
        <v>82</v>
      </c>
      <c r="F204" t="s">
        <v>84</v>
      </c>
      <c r="G204" t="s">
        <v>41</v>
      </c>
      <c r="H204" t="s">
        <v>53</v>
      </c>
      <c r="I204" s="4">
        <f>IFERROR(VLOOKUP(G204,SKU_Cost_Input!$A$2:$E$15,4,FALSE),0)</f>
        <v>0</v>
      </c>
      <c r="J204" s="4">
        <f>IFERROR(VLOOKUP(G204,SKU_Cost_Input!$A$2:$E$15,2,FALSE),0)</f>
        <v>100</v>
      </c>
      <c r="K204" s="4">
        <f t="shared" si="6"/>
        <v>0</v>
      </c>
      <c r="L204" s="4">
        <f t="shared" si="7"/>
        <v>0</v>
      </c>
      <c r="M204" t="s">
        <v>85</v>
      </c>
    </row>
    <row r="205" spans="1:13" ht="16.05" customHeight="1">
      <c r="A205" t="s">
        <v>475</v>
      </c>
      <c r="B205" t="s">
        <v>474</v>
      </c>
      <c r="C205" t="s">
        <v>30</v>
      </c>
      <c r="D205" t="s">
        <v>477</v>
      </c>
      <c r="E205" t="s">
        <v>82</v>
      </c>
      <c r="F205" t="s">
        <v>84</v>
      </c>
      <c r="G205" t="s">
        <v>40</v>
      </c>
      <c r="H205" t="s">
        <v>51</v>
      </c>
      <c r="I205" s="4">
        <f>IFERROR(VLOOKUP(G205,SKU_Cost_Input!$A$2:$E$15,4,FALSE),0)</f>
        <v>0</v>
      </c>
      <c r="J205" s="4">
        <f>IFERROR(VLOOKUP(G205,SKU_Cost_Input!$A$2:$E$15,2,FALSE),0)</f>
        <v>130</v>
      </c>
      <c r="K205" s="4">
        <f t="shared" si="6"/>
        <v>0</v>
      </c>
      <c r="L205" s="4">
        <f t="shared" si="7"/>
        <v>0</v>
      </c>
      <c r="M205" t="s">
        <v>85</v>
      </c>
    </row>
    <row r="206" spans="1:13" ht="16.05" customHeight="1">
      <c r="A206" t="s">
        <v>475</v>
      </c>
      <c r="B206" t="s">
        <v>474</v>
      </c>
      <c r="C206" t="s">
        <v>30</v>
      </c>
      <c r="D206" t="s">
        <v>477</v>
      </c>
      <c r="E206" t="s">
        <v>82</v>
      </c>
      <c r="F206" t="s">
        <v>84</v>
      </c>
      <c r="G206" t="s">
        <v>42</v>
      </c>
      <c r="H206" t="s">
        <v>54</v>
      </c>
      <c r="I206" s="4">
        <f>IFERROR(VLOOKUP(G206,SKU_Cost_Input!$A$2:$E$15,4,FALSE),0)</f>
        <v>0</v>
      </c>
      <c r="J206" s="4">
        <f>IFERROR(VLOOKUP(G206,SKU_Cost_Input!$A$2:$E$15,2,FALSE),0)</f>
        <v>52</v>
      </c>
      <c r="K206" s="4">
        <f t="shared" si="6"/>
        <v>0</v>
      </c>
      <c r="L206" s="4">
        <f t="shared" si="7"/>
        <v>0</v>
      </c>
      <c r="M206" t="s">
        <v>85</v>
      </c>
    </row>
    <row r="207" spans="1:13" ht="16.05" customHeight="1">
      <c r="A207" t="s">
        <v>475</v>
      </c>
      <c r="B207" t="s">
        <v>474</v>
      </c>
      <c r="C207" t="s">
        <v>30</v>
      </c>
      <c r="D207" t="s">
        <v>477</v>
      </c>
      <c r="E207" t="s">
        <v>82</v>
      </c>
      <c r="F207" t="s">
        <v>84</v>
      </c>
      <c r="G207" t="s">
        <v>41</v>
      </c>
      <c r="H207" t="s">
        <v>53</v>
      </c>
      <c r="I207" s="4">
        <f>IFERROR(VLOOKUP(G207,SKU_Cost_Input!$A$2:$E$15,4,FALSE),0)</f>
        <v>0</v>
      </c>
      <c r="J207" s="4">
        <f>IFERROR(VLOOKUP(G207,SKU_Cost_Input!$A$2:$E$15,2,FALSE),0)</f>
        <v>100</v>
      </c>
      <c r="K207" s="4">
        <f t="shared" si="6"/>
        <v>0</v>
      </c>
      <c r="L207" s="4">
        <f t="shared" si="7"/>
        <v>0</v>
      </c>
      <c r="M207" t="s">
        <v>85</v>
      </c>
    </row>
    <row r="208" spans="1:13" ht="16.05" customHeight="1">
      <c r="A208" t="s">
        <v>480</v>
      </c>
      <c r="B208" t="s">
        <v>479</v>
      </c>
      <c r="C208" t="s">
        <v>30</v>
      </c>
      <c r="D208" t="s">
        <v>483</v>
      </c>
      <c r="E208" t="s">
        <v>82</v>
      </c>
      <c r="F208" t="s">
        <v>84</v>
      </c>
      <c r="G208" t="s">
        <v>40</v>
      </c>
      <c r="H208" t="s">
        <v>51</v>
      </c>
      <c r="I208" s="4">
        <f>IFERROR(VLOOKUP(G208,SKU_Cost_Input!$A$2:$E$15,4,FALSE),0)</f>
        <v>0</v>
      </c>
      <c r="J208" s="4">
        <f>IFERROR(VLOOKUP(G208,SKU_Cost_Input!$A$2:$E$15,2,FALSE),0)</f>
        <v>130</v>
      </c>
      <c r="K208" s="4">
        <f t="shared" si="6"/>
        <v>0</v>
      </c>
      <c r="L208" s="4">
        <f t="shared" si="7"/>
        <v>0</v>
      </c>
      <c r="M208" t="s">
        <v>85</v>
      </c>
    </row>
    <row r="209" spans="1:13" ht="16.05" customHeight="1">
      <c r="A209" t="s">
        <v>480</v>
      </c>
      <c r="B209" t="s">
        <v>479</v>
      </c>
      <c r="C209" t="s">
        <v>30</v>
      </c>
      <c r="D209" t="s">
        <v>483</v>
      </c>
      <c r="E209" t="s">
        <v>82</v>
      </c>
      <c r="F209" t="s">
        <v>84</v>
      </c>
      <c r="G209" t="s">
        <v>41</v>
      </c>
      <c r="H209" t="s">
        <v>53</v>
      </c>
      <c r="I209" s="4">
        <f>IFERROR(VLOOKUP(G209,SKU_Cost_Input!$A$2:$E$15,4,FALSE),0)</f>
        <v>0</v>
      </c>
      <c r="J209" s="4">
        <f>IFERROR(VLOOKUP(G209,SKU_Cost_Input!$A$2:$E$15,2,FALSE),0)</f>
        <v>100</v>
      </c>
      <c r="K209" s="4">
        <f t="shared" si="6"/>
        <v>0</v>
      </c>
      <c r="L209" s="4">
        <f t="shared" si="7"/>
        <v>0</v>
      </c>
      <c r="M209" t="s">
        <v>85</v>
      </c>
    </row>
    <row r="210" spans="1:13" ht="16.05" customHeight="1">
      <c r="A210" t="s">
        <v>486</v>
      </c>
      <c r="B210" t="s">
        <v>485</v>
      </c>
      <c r="C210" t="s">
        <v>30</v>
      </c>
      <c r="D210" t="s">
        <v>488</v>
      </c>
      <c r="E210" t="s">
        <v>82</v>
      </c>
      <c r="F210" t="s">
        <v>84</v>
      </c>
      <c r="G210" t="s">
        <v>44</v>
      </c>
      <c r="H210" t="s">
        <v>53</v>
      </c>
      <c r="I210" s="4">
        <f>IFERROR(VLOOKUP(G210,SKU_Cost_Input!$A$2:$E$15,4,FALSE),0)</f>
        <v>0</v>
      </c>
      <c r="J210" s="4">
        <f>IFERROR(VLOOKUP(G210,SKU_Cost_Input!$A$2:$E$15,2,FALSE),0)</f>
        <v>21</v>
      </c>
      <c r="K210" s="4">
        <f t="shared" si="6"/>
        <v>0</v>
      </c>
      <c r="L210" s="4">
        <f t="shared" si="7"/>
        <v>0</v>
      </c>
      <c r="M210" t="s">
        <v>85</v>
      </c>
    </row>
    <row r="211" spans="1:13" ht="16.05" customHeight="1">
      <c r="A211" t="s">
        <v>486</v>
      </c>
      <c r="B211" t="s">
        <v>485</v>
      </c>
      <c r="C211" t="s">
        <v>30</v>
      </c>
      <c r="D211" t="s">
        <v>488</v>
      </c>
      <c r="E211" t="s">
        <v>82</v>
      </c>
      <c r="F211" t="s">
        <v>84</v>
      </c>
      <c r="G211" t="s">
        <v>40</v>
      </c>
      <c r="H211" t="s">
        <v>51</v>
      </c>
      <c r="I211" s="4">
        <f>IFERROR(VLOOKUP(G211,SKU_Cost_Input!$A$2:$E$15,4,FALSE),0)</f>
        <v>0</v>
      </c>
      <c r="J211" s="4">
        <f>IFERROR(VLOOKUP(G211,SKU_Cost_Input!$A$2:$E$15,2,FALSE),0)</f>
        <v>130</v>
      </c>
      <c r="K211" s="4">
        <f t="shared" si="6"/>
        <v>0</v>
      </c>
      <c r="L211" s="4">
        <f t="shared" si="7"/>
        <v>0</v>
      </c>
      <c r="M211" t="s">
        <v>85</v>
      </c>
    </row>
    <row r="212" spans="1:13" ht="16.05" customHeight="1">
      <c r="A212" t="s">
        <v>486</v>
      </c>
      <c r="B212" t="s">
        <v>485</v>
      </c>
      <c r="C212" t="s">
        <v>30</v>
      </c>
      <c r="D212" t="s">
        <v>488</v>
      </c>
      <c r="E212" t="s">
        <v>82</v>
      </c>
      <c r="F212" t="s">
        <v>84</v>
      </c>
      <c r="G212" t="s">
        <v>42</v>
      </c>
      <c r="H212" t="s">
        <v>54</v>
      </c>
      <c r="I212" s="4">
        <f>IFERROR(VLOOKUP(G212,SKU_Cost_Input!$A$2:$E$15,4,FALSE),0)</f>
        <v>0</v>
      </c>
      <c r="J212" s="4">
        <f>IFERROR(VLOOKUP(G212,SKU_Cost_Input!$A$2:$E$15,2,FALSE),0)</f>
        <v>52</v>
      </c>
      <c r="K212" s="4">
        <f t="shared" si="6"/>
        <v>0</v>
      </c>
      <c r="L212" s="4">
        <f t="shared" si="7"/>
        <v>0</v>
      </c>
      <c r="M212" t="s">
        <v>85</v>
      </c>
    </row>
    <row r="213" spans="1:13" ht="16.05" customHeight="1">
      <c r="A213" t="s">
        <v>491</v>
      </c>
      <c r="B213" t="s">
        <v>490</v>
      </c>
      <c r="C213" t="s">
        <v>30</v>
      </c>
      <c r="D213" t="s">
        <v>493</v>
      </c>
      <c r="E213" t="s">
        <v>82</v>
      </c>
      <c r="F213" t="s">
        <v>84</v>
      </c>
      <c r="G213" t="s">
        <v>40</v>
      </c>
      <c r="H213" t="s">
        <v>51</v>
      </c>
      <c r="I213" s="4">
        <f>IFERROR(VLOOKUP(G213,SKU_Cost_Input!$A$2:$E$15,4,FALSE),0)</f>
        <v>0</v>
      </c>
      <c r="J213" s="4">
        <f>IFERROR(VLOOKUP(G213,SKU_Cost_Input!$A$2:$E$15,2,FALSE),0)</f>
        <v>130</v>
      </c>
      <c r="K213" s="4">
        <f t="shared" si="6"/>
        <v>0</v>
      </c>
      <c r="L213" s="4">
        <f t="shared" si="7"/>
        <v>0</v>
      </c>
      <c r="M213" t="s">
        <v>85</v>
      </c>
    </row>
    <row r="214" spans="1:13" ht="16.05" customHeight="1">
      <c r="A214" t="s">
        <v>491</v>
      </c>
      <c r="B214" t="s">
        <v>490</v>
      </c>
      <c r="C214" t="s">
        <v>30</v>
      </c>
      <c r="D214" t="s">
        <v>493</v>
      </c>
      <c r="E214" t="s">
        <v>82</v>
      </c>
      <c r="F214" t="s">
        <v>84</v>
      </c>
      <c r="G214" t="s">
        <v>42</v>
      </c>
      <c r="H214" t="s">
        <v>54</v>
      </c>
      <c r="I214" s="4">
        <f>IFERROR(VLOOKUP(G214,SKU_Cost_Input!$A$2:$E$15,4,FALSE),0)</f>
        <v>0</v>
      </c>
      <c r="J214" s="4">
        <f>IFERROR(VLOOKUP(G214,SKU_Cost_Input!$A$2:$E$15,2,FALSE),0)</f>
        <v>52</v>
      </c>
      <c r="K214" s="4">
        <f t="shared" si="6"/>
        <v>0</v>
      </c>
      <c r="L214" s="4">
        <f t="shared" si="7"/>
        <v>0</v>
      </c>
      <c r="M214" t="s">
        <v>85</v>
      </c>
    </row>
    <row r="215" spans="1:13" ht="16.05" customHeight="1">
      <c r="A215" t="s">
        <v>491</v>
      </c>
      <c r="B215" t="s">
        <v>490</v>
      </c>
      <c r="C215" t="s">
        <v>30</v>
      </c>
      <c r="D215" t="s">
        <v>493</v>
      </c>
      <c r="E215" t="s">
        <v>82</v>
      </c>
      <c r="F215" t="s">
        <v>84</v>
      </c>
      <c r="G215" t="s">
        <v>43</v>
      </c>
      <c r="H215" t="s">
        <v>54</v>
      </c>
      <c r="I215" s="4">
        <f>IFERROR(VLOOKUP(G215,SKU_Cost_Input!$A$2:$E$15,4,FALSE),0)</f>
        <v>0</v>
      </c>
      <c r="J215" s="4">
        <f>IFERROR(VLOOKUP(G215,SKU_Cost_Input!$A$2:$E$15,2,FALSE),0)</f>
        <v>50</v>
      </c>
      <c r="K215" s="4">
        <f t="shared" si="6"/>
        <v>0</v>
      </c>
      <c r="L215" s="4">
        <f t="shared" si="7"/>
        <v>0</v>
      </c>
      <c r="M215" t="s">
        <v>85</v>
      </c>
    </row>
    <row r="216" spans="1:13" ht="16.05" customHeight="1">
      <c r="A216" t="s">
        <v>491</v>
      </c>
      <c r="B216" t="s">
        <v>490</v>
      </c>
      <c r="C216" t="s">
        <v>30</v>
      </c>
      <c r="D216" t="s">
        <v>493</v>
      </c>
      <c r="E216" t="s">
        <v>82</v>
      </c>
      <c r="F216" t="s">
        <v>84</v>
      </c>
      <c r="G216" t="s">
        <v>41</v>
      </c>
      <c r="H216" t="s">
        <v>53</v>
      </c>
      <c r="I216" s="4">
        <f>IFERROR(VLOOKUP(G216,SKU_Cost_Input!$A$2:$E$15,4,FALSE),0)</f>
        <v>0</v>
      </c>
      <c r="J216" s="4">
        <f>IFERROR(VLOOKUP(G216,SKU_Cost_Input!$A$2:$E$15,2,FALSE),0)</f>
        <v>100</v>
      </c>
      <c r="K216" s="4">
        <f t="shared" si="6"/>
        <v>0</v>
      </c>
      <c r="L216" s="4">
        <f t="shared" si="7"/>
        <v>0</v>
      </c>
      <c r="M216" t="s">
        <v>85</v>
      </c>
    </row>
    <row r="217" spans="1:13" ht="16.05" customHeight="1">
      <c r="A217" t="s">
        <v>496</v>
      </c>
      <c r="B217" t="s">
        <v>495</v>
      </c>
      <c r="C217" t="s">
        <v>30</v>
      </c>
      <c r="D217" t="s">
        <v>499</v>
      </c>
      <c r="E217" t="s">
        <v>82</v>
      </c>
      <c r="F217" t="s">
        <v>84</v>
      </c>
      <c r="G217" t="s">
        <v>44</v>
      </c>
      <c r="H217" t="s">
        <v>53</v>
      </c>
      <c r="I217" s="4">
        <f>IFERROR(VLOOKUP(G217,SKU_Cost_Input!$A$2:$E$15,4,FALSE),0)</f>
        <v>0</v>
      </c>
      <c r="J217" s="4">
        <f>IFERROR(VLOOKUP(G217,SKU_Cost_Input!$A$2:$E$15,2,FALSE),0)</f>
        <v>21</v>
      </c>
      <c r="K217" s="4">
        <f t="shared" si="6"/>
        <v>0</v>
      </c>
      <c r="L217" s="4">
        <f t="shared" si="7"/>
        <v>0</v>
      </c>
      <c r="M217" t="s">
        <v>85</v>
      </c>
    </row>
    <row r="218" spans="1:13" ht="16.05" customHeight="1">
      <c r="A218" t="s">
        <v>496</v>
      </c>
      <c r="B218" t="s">
        <v>495</v>
      </c>
      <c r="C218" t="s">
        <v>30</v>
      </c>
      <c r="D218" t="s">
        <v>499</v>
      </c>
      <c r="E218" t="s">
        <v>82</v>
      </c>
      <c r="F218" t="s">
        <v>84</v>
      </c>
      <c r="G218" t="s">
        <v>42</v>
      </c>
      <c r="H218" t="s">
        <v>54</v>
      </c>
      <c r="I218" s="4">
        <f>IFERROR(VLOOKUP(G218,SKU_Cost_Input!$A$2:$E$15,4,FALSE),0)</f>
        <v>0</v>
      </c>
      <c r="J218" s="4">
        <f>IFERROR(VLOOKUP(G218,SKU_Cost_Input!$A$2:$E$15,2,FALSE),0)</f>
        <v>52</v>
      </c>
      <c r="K218" s="4">
        <f t="shared" si="6"/>
        <v>0</v>
      </c>
      <c r="L218" s="4">
        <f t="shared" si="7"/>
        <v>0</v>
      </c>
      <c r="M218" t="s">
        <v>85</v>
      </c>
    </row>
    <row r="219" spans="1:13" ht="16.05" customHeight="1">
      <c r="A219" t="s">
        <v>496</v>
      </c>
      <c r="B219" t="s">
        <v>495</v>
      </c>
      <c r="C219" t="s">
        <v>30</v>
      </c>
      <c r="D219" t="s">
        <v>499</v>
      </c>
      <c r="E219" t="s">
        <v>82</v>
      </c>
      <c r="F219" t="s">
        <v>84</v>
      </c>
      <c r="G219" t="s">
        <v>43</v>
      </c>
      <c r="H219" t="s">
        <v>54</v>
      </c>
      <c r="I219" s="4">
        <f>IFERROR(VLOOKUP(G219,SKU_Cost_Input!$A$2:$E$15,4,FALSE),0)</f>
        <v>0</v>
      </c>
      <c r="J219" s="4">
        <f>IFERROR(VLOOKUP(G219,SKU_Cost_Input!$A$2:$E$15,2,FALSE),0)</f>
        <v>50</v>
      </c>
      <c r="K219" s="4">
        <f t="shared" si="6"/>
        <v>0</v>
      </c>
      <c r="L219" s="4">
        <f t="shared" si="7"/>
        <v>0</v>
      </c>
      <c r="M219" t="s">
        <v>85</v>
      </c>
    </row>
    <row r="220" spans="1:13" ht="16.05" customHeight="1">
      <c r="A220" t="s">
        <v>496</v>
      </c>
      <c r="B220" t="s">
        <v>495</v>
      </c>
      <c r="C220" t="s">
        <v>30</v>
      </c>
      <c r="D220" t="s">
        <v>499</v>
      </c>
      <c r="E220" t="s">
        <v>82</v>
      </c>
      <c r="F220" t="s">
        <v>84</v>
      </c>
      <c r="G220" t="s">
        <v>40</v>
      </c>
      <c r="H220" t="s">
        <v>51</v>
      </c>
      <c r="I220" s="4">
        <f>IFERROR(VLOOKUP(G220,SKU_Cost_Input!$A$2:$E$15,4,FALSE),0)</f>
        <v>0</v>
      </c>
      <c r="J220" s="4">
        <f>IFERROR(VLOOKUP(G220,SKU_Cost_Input!$A$2:$E$15,2,FALSE),0)</f>
        <v>130</v>
      </c>
      <c r="K220" s="4">
        <f t="shared" si="6"/>
        <v>0</v>
      </c>
      <c r="L220" s="4">
        <f t="shared" si="7"/>
        <v>0</v>
      </c>
      <c r="M220" t="s">
        <v>85</v>
      </c>
    </row>
    <row r="221" spans="1:13" ht="16.05" customHeight="1">
      <c r="A221" t="s">
        <v>503</v>
      </c>
      <c r="B221" t="s">
        <v>502</v>
      </c>
      <c r="C221" t="s">
        <v>30</v>
      </c>
      <c r="D221" t="s">
        <v>506</v>
      </c>
      <c r="E221" t="s">
        <v>82</v>
      </c>
      <c r="F221" t="s">
        <v>84</v>
      </c>
      <c r="G221" t="s">
        <v>40</v>
      </c>
      <c r="H221" t="s">
        <v>51</v>
      </c>
      <c r="I221" s="4">
        <f>IFERROR(VLOOKUP(G221,SKU_Cost_Input!$A$2:$E$15,4,FALSE),0)</f>
        <v>0</v>
      </c>
      <c r="J221" s="4">
        <f>IFERROR(VLOOKUP(G221,SKU_Cost_Input!$A$2:$E$15,2,FALSE),0)</f>
        <v>130</v>
      </c>
      <c r="K221" s="4">
        <f t="shared" si="6"/>
        <v>0</v>
      </c>
      <c r="L221" s="4">
        <f t="shared" si="7"/>
        <v>0</v>
      </c>
      <c r="M221" t="s">
        <v>85</v>
      </c>
    </row>
    <row r="222" spans="1:13" ht="16.05" customHeight="1">
      <c r="A222" t="s">
        <v>503</v>
      </c>
      <c r="B222" t="s">
        <v>502</v>
      </c>
      <c r="C222" t="s">
        <v>30</v>
      </c>
      <c r="D222" t="s">
        <v>506</v>
      </c>
      <c r="E222" t="s">
        <v>82</v>
      </c>
      <c r="F222" t="s">
        <v>84</v>
      </c>
      <c r="G222" t="s">
        <v>41</v>
      </c>
      <c r="H222" t="s">
        <v>53</v>
      </c>
      <c r="I222" s="4">
        <f>IFERROR(VLOOKUP(G222,SKU_Cost_Input!$A$2:$E$15,4,FALSE),0)</f>
        <v>0</v>
      </c>
      <c r="J222" s="4">
        <f>IFERROR(VLOOKUP(G222,SKU_Cost_Input!$A$2:$E$15,2,FALSE),0)</f>
        <v>100</v>
      </c>
      <c r="K222" s="4">
        <f t="shared" si="6"/>
        <v>0</v>
      </c>
      <c r="L222" s="4">
        <f t="shared" si="7"/>
        <v>0</v>
      </c>
      <c r="M222" t="s">
        <v>85</v>
      </c>
    </row>
    <row r="223" spans="1:13" ht="16.05" customHeight="1">
      <c r="A223" t="s">
        <v>510</v>
      </c>
      <c r="B223" t="s">
        <v>509</v>
      </c>
      <c r="C223" t="s">
        <v>30</v>
      </c>
      <c r="D223" t="s">
        <v>513</v>
      </c>
      <c r="E223" t="s">
        <v>82</v>
      </c>
      <c r="F223" t="s">
        <v>84</v>
      </c>
      <c r="G223" t="s">
        <v>40</v>
      </c>
      <c r="H223" t="s">
        <v>51</v>
      </c>
      <c r="I223" s="4">
        <f>IFERROR(VLOOKUP(G223,SKU_Cost_Input!$A$2:$E$15,4,FALSE),0)</f>
        <v>0</v>
      </c>
      <c r="J223" s="4">
        <f>IFERROR(VLOOKUP(G223,SKU_Cost_Input!$A$2:$E$15,2,FALSE),0)</f>
        <v>130</v>
      </c>
      <c r="K223" s="4">
        <f t="shared" si="6"/>
        <v>0</v>
      </c>
      <c r="L223" s="4">
        <f t="shared" si="7"/>
        <v>0</v>
      </c>
      <c r="M223" t="s">
        <v>85</v>
      </c>
    </row>
    <row r="224" spans="1:13" ht="16.05" customHeight="1">
      <c r="A224" t="s">
        <v>510</v>
      </c>
      <c r="B224" t="s">
        <v>509</v>
      </c>
      <c r="C224" t="s">
        <v>30</v>
      </c>
      <c r="D224" t="s">
        <v>513</v>
      </c>
      <c r="E224" t="s">
        <v>82</v>
      </c>
      <c r="F224" t="s">
        <v>84</v>
      </c>
      <c r="G224" t="s">
        <v>41</v>
      </c>
      <c r="H224" t="s">
        <v>53</v>
      </c>
      <c r="I224" s="4">
        <f>IFERROR(VLOOKUP(G224,SKU_Cost_Input!$A$2:$E$15,4,FALSE),0)</f>
        <v>0</v>
      </c>
      <c r="J224" s="4">
        <f>IFERROR(VLOOKUP(G224,SKU_Cost_Input!$A$2:$E$15,2,FALSE),0)</f>
        <v>100</v>
      </c>
      <c r="K224" s="4">
        <f t="shared" si="6"/>
        <v>0</v>
      </c>
      <c r="L224" s="4">
        <f t="shared" si="7"/>
        <v>0</v>
      </c>
      <c r="M224" t="s">
        <v>85</v>
      </c>
    </row>
    <row r="225" spans="1:13" ht="16.05" customHeight="1">
      <c r="A225" t="s">
        <v>516</v>
      </c>
      <c r="B225" t="s">
        <v>515</v>
      </c>
      <c r="C225" t="s">
        <v>30</v>
      </c>
      <c r="D225" t="s">
        <v>518</v>
      </c>
      <c r="E225" t="s">
        <v>82</v>
      </c>
      <c r="F225" t="s">
        <v>84</v>
      </c>
      <c r="G225" t="s">
        <v>40</v>
      </c>
      <c r="H225" t="s">
        <v>51</v>
      </c>
      <c r="I225" s="4">
        <f>IFERROR(VLOOKUP(G225,SKU_Cost_Input!$A$2:$E$15,4,FALSE),0)</f>
        <v>0</v>
      </c>
      <c r="J225" s="4">
        <f>IFERROR(VLOOKUP(G225,SKU_Cost_Input!$A$2:$E$15,2,FALSE),0)</f>
        <v>130</v>
      </c>
      <c r="K225" s="4">
        <f t="shared" si="6"/>
        <v>0</v>
      </c>
      <c r="L225" s="4">
        <f t="shared" si="7"/>
        <v>0</v>
      </c>
      <c r="M225" t="s">
        <v>85</v>
      </c>
    </row>
    <row r="226" spans="1:13" ht="16.05" customHeight="1">
      <c r="A226" t="s">
        <v>516</v>
      </c>
      <c r="B226" t="s">
        <v>515</v>
      </c>
      <c r="C226" t="s">
        <v>30</v>
      </c>
      <c r="D226" t="s">
        <v>518</v>
      </c>
      <c r="E226" t="s">
        <v>82</v>
      </c>
      <c r="F226" t="s">
        <v>84</v>
      </c>
      <c r="G226" t="s">
        <v>42</v>
      </c>
      <c r="H226" t="s">
        <v>54</v>
      </c>
      <c r="I226" s="4">
        <f>IFERROR(VLOOKUP(G226,SKU_Cost_Input!$A$2:$E$15,4,FALSE),0)</f>
        <v>0</v>
      </c>
      <c r="J226" s="4">
        <f>IFERROR(VLOOKUP(G226,SKU_Cost_Input!$A$2:$E$15,2,FALSE),0)</f>
        <v>52</v>
      </c>
      <c r="K226" s="4">
        <f t="shared" si="6"/>
        <v>0</v>
      </c>
      <c r="L226" s="4">
        <f t="shared" si="7"/>
        <v>0</v>
      </c>
      <c r="M226" t="s">
        <v>85</v>
      </c>
    </row>
    <row r="227" spans="1:13" ht="16.05" customHeight="1">
      <c r="A227" t="s">
        <v>516</v>
      </c>
      <c r="B227" t="s">
        <v>515</v>
      </c>
      <c r="C227" t="s">
        <v>30</v>
      </c>
      <c r="D227" t="s">
        <v>518</v>
      </c>
      <c r="E227" t="s">
        <v>82</v>
      </c>
      <c r="F227" t="s">
        <v>84</v>
      </c>
      <c r="G227" t="s">
        <v>41</v>
      </c>
      <c r="H227" t="s">
        <v>53</v>
      </c>
      <c r="I227" s="4">
        <f>IFERROR(VLOOKUP(G227,SKU_Cost_Input!$A$2:$E$15,4,FALSE),0)</f>
        <v>0</v>
      </c>
      <c r="J227" s="4">
        <f>IFERROR(VLOOKUP(G227,SKU_Cost_Input!$A$2:$E$15,2,FALSE),0)</f>
        <v>100</v>
      </c>
      <c r="K227" s="4">
        <f t="shared" si="6"/>
        <v>0</v>
      </c>
      <c r="L227" s="4">
        <f t="shared" si="7"/>
        <v>0</v>
      </c>
      <c r="M227" t="s">
        <v>85</v>
      </c>
    </row>
    <row r="228" spans="1:13" ht="16.05" customHeight="1">
      <c r="A228" t="s">
        <v>521</v>
      </c>
      <c r="B228" t="s">
        <v>520</v>
      </c>
      <c r="C228" t="s">
        <v>30</v>
      </c>
      <c r="D228" t="s">
        <v>522</v>
      </c>
      <c r="E228" t="s">
        <v>82</v>
      </c>
      <c r="F228" t="s">
        <v>84</v>
      </c>
      <c r="G228" t="s">
        <v>45</v>
      </c>
      <c r="H228" t="s">
        <v>53</v>
      </c>
      <c r="I228" s="4">
        <f>IFERROR(VLOOKUP(G228,SKU_Cost_Input!$A$2:$E$15,4,FALSE),0)</f>
        <v>0</v>
      </c>
      <c r="J228" s="4">
        <f>IFERROR(VLOOKUP(G228,SKU_Cost_Input!$A$2:$E$15,2,FALSE),0)</f>
        <v>14</v>
      </c>
      <c r="K228" s="4">
        <f t="shared" si="6"/>
        <v>0</v>
      </c>
      <c r="L228" s="4">
        <f t="shared" si="7"/>
        <v>0</v>
      </c>
      <c r="M228" t="s">
        <v>85</v>
      </c>
    </row>
    <row r="229" spans="1:13" ht="16.05" customHeight="1">
      <c r="A229" t="s">
        <v>521</v>
      </c>
      <c r="B229" t="s">
        <v>520</v>
      </c>
      <c r="C229" t="s">
        <v>30</v>
      </c>
      <c r="D229" t="s">
        <v>522</v>
      </c>
      <c r="E229" t="s">
        <v>82</v>
      </c>
      <c r="F229" t="s">
        <v>84</v>
      </c>
      <c r="G229" t="s">
        <v>58</v>
      </c>
      <c r="H229" t="s">
        <v>53</v>
      </c>
      <c r="I229" s="4">
        <f>IFERROR(VLOOKUP(G229,SKU_Cost_Input!$A$2:$E$15,4,FALSE),0)</f>
        <v>0</v>
      </c>
      <c r="J229" s="4">
        <f>IFERROR(VLOOKUP(G229,SKU_Cost_Input!$A$2:$E$15,2,FALSE),0)</f>
        <v>6</v>
      </c>
      <c r="K229" s="4">
        <f t="shared" si="6"/>
        <v>0</v>
      </c>
      <c r="L229" s="4">
        <f t="shared" si="7"/>
        <v>0</v>
      </c>
      <c r="M229" t="s">
        <v>85</v>
      </c>
    </row>
    <row r="230" spans="1:13" ht="16.05" customHeight="1">
      <c r="A230" t="s">
        <v>521</v>
      </c>
      <c r="B230" t="s">
        <v>520</v>
      </c>
      <c r="C230" t="s">
        <v>30</v>
      </c>
      <c r="D230" t="s">
        <v>522</v>
      </c>
      <c r="E230" t="s">
        <v>82</v>
      </c>
      <c r="F230" t="s">
        <v>84</v>
      </c>
      <c r="G230" t="s">
        <v>40</v>
      </c>
      <c r="H230" t="s">
        <v>51</v>
      </c>
      <c r="I230" s="4">
        <f>IFERROR(VLOOKUP(G230,SKU_Cost_Input!$A$2:$E$15,4,FALSE),0)</f>
        <v>0</v>
      </c>
      <c r="J230" s="4">
        <f>IFERROR(VLOOKUP(G230,SKU_Cost_Input!$A$2:$E$15,2,FALSE),0)</f>
        <v>130</v>
      </c>
      <c r="K230" s="4">
        <f t="shared" si="6"/>
        <v>0</v>
      </c>
      <c r="L230" s="4">
        <f t="shared" si="7"/>
        <v>0</v>
      </c>
      <c r="M230" t="s">
        <v>85</v>
      </c>
    </row>
    <row r="231" spans="1:13" ht="16.05" customHeight="1">
      <c r="A231" t="s">
        <v>521</v>
      </c>
      <c r="B231" t="s">
        <v>520</v>
      </c>
      <c r="C231" t="s">
        <v>30</v>
      </c>
      <c r="D231" t="s">
        <v>522</v>
      </c>
      <c r="E231" t="s">
        <v>82</v>
      </c>
      <c r="F231" t="s">
        <v>84</v>
      </c>
      <c r="G231" t="s">
        <v>57</v>
      </c>
      <c r="H231" t="s">
        <v>51</v>
      </c>
      <c r="I231" s="4">
        <f>IFERROR(VLOOKUP(G231,SKU_Cost_Input!$A$2:$E$15,4,FALSE),0)</f>
        <v>0</v>
      </c>
      <c r="J231" s="4">
        <f>IFERROR(VLOOKUP(G231,SKU_Cost_Input!$A$2:$E$15,2,FALSE),0)</f>
        <v>6</v>
      </c>
      <c r="K231" s="4">
        <f t="shared" si="6"/>
        <v>0</v>
      </c>
      <c r="L231" s="4">
        <f t="shared" si="7"/>
        <v>0</v>
      </c>
      <c r="M231" t="s">
        <v>85</v>
      </c>
    </row>
    <row r="232" spans="1:13" ht="16.05" customHeight="1">
      <c r="A232" t="s">
        <v>521</v>
      </c>
      <c r="B232" t="s">
        <v>520</v>
      </c>
      <c r="C232" t="s">
        <v>30</v>
      </c>
      <c r="D232" t="s">
        <v>522</v>
      </c>
      <c r="E232" t="s">
        <v>82</v>
      </c>
      <c r="F232" t="s">
        <v>84</v>
      </c>
      <c r="G232" t="s">
        <v>59</v>
      </c>
      <c r="H232" t="s">
        <v>54</v>
      </c>
      <c r="I232" s="4">
        <f>IFERROR(VLOOKUP(G232,SKU_Cost_Input!$A$2:$E$15,4,FALSE),0)</f>
        <v>0</v>
      </c>
      <c r="J232" s="4">
        <f>IFERROR(VLOOKUP(G232,SKU_Cost_Input!$A$2:$E$15,2,FALSE),0)</f>
        <v>5</v>
      </c>
      <c r="K232" s="4">
        <f t="shared" si="6"/>
        <v>0</v>
      </c>
      <c r="L232" s="4">
        <f t="shared" si="7"/>
        <v>0</v>
      </c>
      <c r="M232" t="s">
        <v>85</v>
      </c>
    </row>
    <row r="233" spans="1:13" ht="16.05" customHeight="1">
      <c r="A233" t="s">
        <v>521</v>
      </c>
      <c r="B233" t="s">
        <v>520</v>
      </c>
      <c r="C233" t="s">
        <v>30</v>
      </c>
      <c r="D233" t="s">
        <v>522</v>
      </c>
      <c r="E233" t="s">
        <v>82</v>
      </c>
      <c r="F233" t="s">
        <v>84</v>
      </c>
      <c r="G233" t="s">
        <v>43</v>
      </c>
      <c r="H233" t="s">
        <v>54</v>
      </c>
      <c r="I233" s="4">
        <f>IFERROR(VLOOKUP(G233,SKU_Cost_Input!$A$2:$E$15,4,FALSE),0)</f>
        <v>0</v>
      </c>
      <c r="J233" s="4">
        <f>IFERROR(VLOOKUP(G233,SKU_Cost_Input!$A$2:$E$15,2,FALSE),0)</f>
        <v>50</v>
      </c>
      <c r="K233" s="4">
        <f t="shared" si="6"/>
        <v>0</v>
      </c>
      <c r="L233" s="4">
        <f t="shared" si="7"/>
        <v>0</v>
      </c>
      <c r="M233" t="s">
        <v>85</v>
      </c>
    </row>
    <row r="234" spans="1:13" ht="16.05" customHeight="1">
      <c r="A234" t="s">
        <v>521</v>
      </c>
      <c r="B234" t="s">
        <v>520</v>
      </c>
      <c r="C234" t="s">
        <v>30</v>
      </c>
      <c r="D234" t="s">
        <v>522</v>
      </c>
      <c r="E234" t="s">
        <v>82</v>
      </c>
      <c r="F234" t="s">
        <v>84</v>
      </c>
      <c r="G234" t="s">
        <v>56</v>
      </c>
      <c r="H234" t="s">
        <v>54</v>
      </c>
      <c r="I234" s="4">
        <f>IFERROR(VLOOKUP(G234,SKU_Cost_Input!$A$2:$E$15,4,FALSE),0)</f>
        <v>0</v>
      </c>
      <c r="J234" s="4">
        <f>IFERROR(VLOOKUP(G234,SKU_Cost_Input!$A$2:$E$15,2,FALSE),0)</f>
        <v>6</v>
      </c>
      <c r="K234" s="4">
        <f t="shared" si="6"/>
        <v>0</v>
      </c>
      <c r="L234" s="4">
        <f t="shared" si="7"/>
        <v>0</v>
      </c>
      <c r="M234" t="s">
        <v>85</v>
      </c>
    </row>
    <row r="235" spans="1:13" ht="16.05" customHeight="1">
      <c r="A235" t="s">
        <v>521</v>
      </c>
      <c r="B235" t="s">
        <v>520</v>
      </c>
      <c r="C235" t="s">
        <v>30</v>
      </c>
      <c r="D235" t="s">
        <v>522</v>
      </c>
      <c r="E235" t="s">
        <v>82</v>
      </c>
      <c r="F235" t="s">
        <v>84</v>
      </c>
      <c r="G235" t="s">
        <v>55</v>
      </c>
      <c r="H235" t="s">
        <v>54</v>
      </c>
      <c r="I235" s="4">
        <f>IFERROR(VLOOKUP(G235,SKU_Cost_Input!$A$2:$E$15,4,FALSE),0)</f>
        <v>0</v>
      </c>
      <c r="J235" s="4">
        <f>IFERROR(VLOOKUP(G235,SKU_Cost_Input!$A$2:$E$15,2,FALSE),0)</f>
        <v>7</v>
      </c>
      <c r="K235" s="4">
        <f t="shared" si="6"/>
        <v>0</v>
      </c>
      <c r="L235" s="4">
        <f t="shared" si="7"/>
        <v>0</v>
      </c>
      <c r="M235" t="s">
        <v>85</v>
      </c>
    </row>
    <row r="236" spans="1:13" ht="16.05" customHeight="1">
      <c r="A236" t="s">
        <v>521</v>
      </c>
      <c r="B236" t="s">
        <v>520</v>
      </c>
      <c r="C236" t="s">
        <v>30</v>
      </c>
      <c r="D236" t="s">
        <v>522</v>
      </c>
      <c r="E236" t="s">
        <v>82</v>
      </c>
      <c r="F236" t="s">
        <v>84</v>
      </c>
      <c r="G236" t="s">
        <v>42</v>
      </c>
      <c r="H236" t="s">
        <v>54</v>
      </c>
      <c r="I236" s="4">
        <f>IFERROR(VLOOKUP(G236,SKU_Cost_Input!$A$2:$E$15,4,FALSE),0)</f>
        <v>0</v>
      </c>
      <c r="J236" s="4">
        <f>IFERROR(VLOOKUP(G236,SKU_Cost_Input!$A$2:$E$15,2,FALSE),0)</f>
        <v>52</v>
      </c>
      <c r="K236" s="4">
        <f t="shared" si="6"/>
        <v>0</v>
      </c>
      <c r="L236" s="4">
        <f t="shared" si="7"/>
        <v>0</v>
      </c>
      <c r="M236" t="s">
        <v>85</v>
      </c>
    </row>
    <row r="237" spans="1:13" ht="16.05" customHeight="1">
      <c r="A237" t="s">
        <v>526</v>
      </c>
      <c r="B237" t="s">
        <v>525</v>
      </c>
      <c r="C237" t="s">
        <v>30</v>
      </c>
      <c r="D237" t="s">
        <v>528</v>
      </c>
      <c r="E237" t="s">
        <v>82</v>
      </c>
      <c r="F237" t="s">
        <v>84</v>
      </c>
      <c r="G237" t="s">
        <v>40</v>
      </c>
      <c r="H237" t="s">
        <v>51</v>
      </c>
      <c r="I237" s="4">
        <f>IFERROR(VLOOKUP(G237,SKU_Cost_Input!$A$2:$E$15,4,FALSE),0)</f>
        <v>0</v>
      </c>
      <c r="J237" s="4">
        <f>IFERROR(VLOOKUP(G237,SKU_Cost_Input!$A$2:$E$15,2,FALSE),0)</f>
        <v>130</v>
      </c>
      <c r="K237" s="4">
        <f t="shared" si="6"/>
        <v>0</v>
      </c>
      <c r="L237" s="4">
        <f t="shared" si="7"/>
        <v>0</v>
      </c>
      <c r="M237" t="s">
        <v>85</v>
      </c>
    </row>
    <row r="238" spans="1:13" ht="16.05" customHeight="1">
      <c r="A238" t="s">
        <v>526</v>
      </c>
      <c r="B238" t="s">
        <v>525</v>
      </c>
      <c r="C238" t="s">
        <v>30</v>
      </c>
      <c r="D238" t="s">
        <v>528</v>
      </c>
      <c r="E238" t="s">
        <v>82</v>
      </c>
      <c r="F238" t="s">
        <v>84</v>
      </c>
      <c r="G238" t="s">
        <v>42</v>
      </c>
      <c r="H238" t="s">
        <v>54</v>
      </c>
      <c r="I238" s="4">
        <f>IFERROR(VLOOKUP(G238,SKU_Cost_Input!$A$2:$E$15,4,FALSE),0)</f>
        <v>0</v>
      </c>
      <c r="J238" s="4">
        <f>IFERROR(VLOOKUP(G238,SKU_Cost_Input!$A$2:$E$15,2,FALSE),0)</f>
        <v>52</v>
      </c>
      <c r="K238" s="4">
        <f t="shared" si="6"/>
        <v>0</v>
      </c>
      <c r="L238" s="4">
        <f t="shared" si="7"/>
        <v>0</v>
      </c>
      <c r="M238" t="s">
        <v>85</v>
      </c>
    </row>
    <row r="239" spans="1:13" ht="16.05" customHeight="1">
      <c r="A239" t="s">
        <v>526</v>
      </c>
      <c r="B239" t="s">
        <v>525</v>
      </c>
      <c r="C239" t="s">
        <v>30</v>
      </c>
      <c r="D239" t="s">
        <v>528</v>
      </c>
      <c r="E239" t="s">
        <v>82</v>
      </c>
      <c r="F239" t="s">
        <v>84</v>
      </c>
      <c r="G239" t="s">
        <v>41</v>
      </c>
      <c r="H239" t="s">
        <v>53</v>
      </c>
      <c r="I239" s="4">
        <f>IFERROR(VLOOKUP(G239,SKU_Cost_Input!$A$2:$E$15,4,FALSE),0)</f>
        <v>0</v>
      </c>
      <c r="J239" s="4">
        <f>IFERROR(VLOOKUP(G239,SKU_Cost_Input!$A$2:$E$15,2,FALSE),0)</f>
        <v>100</v>
      </c>
      <c r="K239" s="4">
        <f t="shared" si="6"/>
        <v>0</v>
      </c>
      <c r="L239" s="4">
        <f t="shared" si="7"/>
        <v>0</v>
      </c>
      <c r="M239" t="s">
        <v>85</v>
      </c>
    </row>
    <row r="240" spans="1:13" ht="16.05" customHeight="1">
      <c r="A240" t="s">
        <v>531</v>
      </c>
      <c r="B240" t="s">
        <v>530</v>
      </c>
      <c r="C240" t="s">
        <v>30</v>
      </c>
      <c r="D240" t="s">
        <v>534</v>
      </c>
      <c r="E240" t="s">
        <v>82</v>
      </c>
      <c r="F240" t="s">
        <v>84</v>
      </c>
      <c r="G240" t="s">
        <v>40</v>
      </c>
      <c r="H240" t="s">
        <v>51</v>
      </c>
      <c r="I240" s="4">
        <f>IFERROR(VLOOKUP(G240,SKU_Cost_Input!$A$2:$E$15,4,FALSE),0)</f>
        <v>0</v>
      </c>
      <c r="J240" s="4">
        <f>IFERROR(VLOOKUP(G240,SKU_Cost_Input!$A$2:$E$15,2,FALSE),0)</f>
        <v>130</v>
      </c>
      <c r="K240" s="4">
        <f t="shared" si="6"/>
        <v>0</v>
      </c>
      <c r="L240" s="4">
        <f t="shared" si="7"/>
        <v>0</v>
      </c>
      <c r="M240" t="s">
        <v>85</v>
      </c>
    </row>
    <row r="241" spans="1:13" ht="16.05" customHeight="1">
      <c r="A241" t="s">
        <v>531</v>
      </c>
      <c r="B241" t="s">
        <v>530</v>
      </c>
      <c r="C241" t="s">
        <v>30</v>
      </c>
      <c r="D241" t="s">
        <v>534</v>
      </c>
      <c r="E241" t="s">
        <v>82</v>
      </c>
      <c r="F241" t="s">
        <v>84</v>
      </c>
      <c r="G241" t="s">
        <v>41</v>
      </c>
      <c r="H241" t="s">
        <v>53</v>
      </c>
      <c r="I241" s="4">
        <f>IFERROR(VLOOKUP(G241,SKU_Cost_Input!$A$2:$E$15,4,FALSE),0)</f>
        <v>0</v>
      </c>
      <c r="J241" s="4">
        <f>IFERROR(VLOOKUP(G241,SKU_Cost_Input!$A$2:$E$15,2,FALSE),0)</f>
        <v>100</v>
      </c>
      <c r="K241" s="4">
        <f t="shared" si="6"/>
        <v>0</v>
      </c>
      <c r="L241" s="4">
        <f t="shared" si="7"/>
        <v>0</v>
      </c>
      <c r="M241" t="s">
        <v>85</v>
      </c>
    </row>
    <row r="242" spans="1:13" ht="16.05" customHeight="1">
      <c r="A242" t="s">
        <v>538</v>
      </c>
      <c r="B242" t="s">
        <v>537</v>
      </c>
      <c r="C242" t="s">
        <v>30</v>
      </c>
      <c r="D242" t="s">
        <v>541</v>
      </c>
      <c r="E242" t="s">
        <v>82</v>
      </c>
      <c r="F242" t="s">
        <v>84</v>
      </c>
      <c r="G242" t="s">
        <v>40</v>
      </c>
      <c r="H242" t="s">
        <v>51</v>
      </c>
      <c r="I242" s="4">
        <f>IFERROR(VLOOKUP(G242,SKU_Cost_Input!$A$2:$E$15,4,FALSE),0)</f>
        <v>0</v>
      </c>
      <c r="J242" s="4">
        <f>IFERROR(VLOOKUP(G242,SKU_Cost_Input!$A$2:$E$15,2,FALSE),0)</f>
        <v>130</v>
      </c>
      <c r="K242" s="4">
        <f t="shared" si="6"/>
        <v>0</v>
      </c>
      <c r="L242" s="4">
        <f t="shared" si="7"/>
        <v>0</v>
      </c>
      <c r="M242" t="s">
        <v>85</v>
      </c>
    </row>
    <row r="243" spans="1:13" ht="16.05" customHeight="1">
      <c r="A243" t="s">
        <v>538</v>
      </c>
      <c r="B243" t="s">
        <v>537</v>
      </c>
      <c r="C243" t="s">
        <v>30</v>
      </c>
      <c r="D243" t="s">
        <v>541</v>
      </c>
      <c r="E243" t="s">
        <v>82</v>
      </c>
      <c r="F243" t="s">
        <v>84</v>
      </c>
      <c r="G243" t="s">
        <v>58</v>
      </c>
      <c r="H243" t="s">
        <v>53</v>
      </c>
      <c r="I243" s="4">
        <f>IFERROR(VLOOKUP(G243,SKU_Cost_Input!$A$2:$E$15,4,FALSE),0)</f>
        <v>0</v>
      </c>
      <c r="J243" s="4">
        <f>IFERROR(VLOOKUP(G243,SKU_Cost_Input!$A$2:$E$15,2,FALSE),0)</f>
        <v>6</v>
      </c>
      <c r="K243" s="4">
        <f t="shared" si="6"/>
        <v>0</v>
      </c>
      <c r="L243" s="4">
        <f t="shared" si="7"/>
        <v>0</v>
      </c>
      <c r="M243" t="s">
        <v>85</v>
      </c>
    </row>
    <row r="244" spans="1:13" ht="16.05" customHeight="1">
      <c r="A244" t="s">
        <v>538</v>
      </c>
      <c r="B244" t="s">
        <v>537</v>
      </c>
      <c r="C244" t="s">
        <v>30</v>
      </c>
      <c r="D244" t="s">
        <v>541</v>
      </c>
      <c r="E244" t="s">
        <v>82</v>
      </c>
      <c r="F244" t="s">
        <v>84</v>
      </c>
      <c r="G244" t="s">
        <v>45</v>
      </c>
      <c r="H244" t="s">
        <v>53</v>
      </c>
      <c r="I244" s="4">
        <f>IFERROR(VLOOKUP(G244,SKU_Cost_Input!$A$2:$E$15,4,FALSE),0)</f>
        <v>0</v>
      </c>
      <c r="J244" s="4">
        <f>IFERROR(VLOOKUP(G244,SKU_Cost_Input!$A$2:$E$15,2,FALSE),0)</f>
        <v>14</v>
      </c>
      <c r="K244" s="4">
        <f t="shared" si="6"/>
        <v>0</v>
      </c>
      <c r="L244" s="4">
        <f t="shared" si="7"/>
        <v>0</v>
      </c>
      <c r="M244" t="s">
        <v>85</v>
      </c>
    </row>
    <row r="245" spans="1:13" ht="16.05" customHeight="1">
      <c r="A245" t="s">
        <v>538</v>
      </c>
      <c r="B245" t="s">
        <v>537</v>
      </c>
      <c r="C245" t="s">
        <v>30</v>
      </c>
      <c r="D245" t="s">
        <v>541</v>
      </c>
      <c r="E245" t="s">
        <v>82</v>
      </c>
      <c r="F245" t="s">
        <v>84</v>
      </c>
      <c r="G245" t="s">
        <v>42</v>
      </c>
      <c r="H245" t="s">
        <v>54</v>
      </c>
      <c r="I245" s="4">
        <f>IFERROR(VLOOKUP(G245,SKU_Cost_Input!$A$2:$E$15,4,FALSE),0)</f>
        <v>0</v>
      </c>
      <c r="J245" s="4">
        <f>IFERROR(VLOOKUP(G245,SKU_Cost_Input!$A$2:$E$15,2,FALSE),0)</f>
        <v>52</v>
      </c>
      <c r="K245" s="4">
        <f t="shared" si="6"/>
        <v>0</v>
      </c>
      <c r="L245" s="4">
        <f t="shared" si="7"/>
        <v>0</v>
      </c>
      <c r="M245" t="s">
        <v>85</v>
      </c>
    </row>
    <row r="246" spans="1:13" ht="16.05" customHeight="1">
      <c r="A246" t="s">
        <v>544</v>
      </c>
      <c r="B246" t="s">
        <v>543</v>
      </c>
      <c r="C246" t="s">
        <v>30</v>
      </c>
      <c r="D246" t="s">
        <v>541</v>
      </c>
      <c r="E246" t="s">
        <v>82</v>
      </c>
      <c r="F246" t="s">
        <v>84</v>
      </c>
      <c r="G246" t="s">
        <v>41</v>
      </c>
      <c r="H246" t="s">
        <v>53</v>
      </c>
      <c r="I246" s="4">
        <f>IFERROR(VLOOKUP(G246,SKU_Cost_Input!$A$2:$E$15,4,FALSE),0)</f>
        <v>0</v>
      </c>
      <c r="J246" s="4">
        <f>IFERROR(VLOOKUP(G246,SKU_Cost_Input!$A$2:$E$15,2,FALSE),0)</f>
        <v>100</v>
      </c>
      <c r="K246" s="4">
        <f t="shared" si="6"/>
        <v>0</v>
      </c>
      <c r="L246" s="4">
        <f t="shared" si="7"/>
        <v>0</v>
      </c>
      <c r="M246" t="s">
        <v>126</v>
      </c>
    </row>
    <row r="247" spans="1:13" ht="16.05" customHeight="1">
      <c r="A247" t="s">
        <v>546</v>
      </c>
      <c r="B247" t="s">
        <v>545</v>
      </c>
      <c r="C247" t="s">
        <v>30</v>
      </c>
      <c r="D247" t="s">
        <v>549</v>
      </c>
      <c r="E247" t="s">
        <v>82</v>
      </c>
      <c r="F247" t="s">
        <v>84</v>
      </c>
      <c r="G247" t="s">
        <v>40</v>
      </c>
      <c r="H247" t="s">
        <v>51</v>
      </c>
      <c r="I247" s="4">
        <f>IFERROR(VLOOKUP(G247,SKU_Cost_Input!$A$2:$E$15,4,FALSE),0)</f>
        <v>0</v>
      </c>
      <c r="J247" s="4">
        <f>IFERROR(VLOOKUP(G247,SKU_Cost_Input!$A$2:$E$15,2,FALSE),0)</f>
        <v>130</v>
      </c>
      <c r="K247" s="4">
        <f t="shared" si="6"/>
        <v>0</v>
      </c>
      <c r="L247" s="4">
        <f t="shared" si="7"/>
        <v>0</v>
      </c>
      <c r="M247" t="s">
        <v>85</v>
      </c>
    </row>
    <row r="248" spans="1:13" ht="16.05" customHeight="1">
      <c r="A248" t="s">
        <v>546</v>
      </c>
      <c r="B248" t="s">
        <v>545</v>
      </c>
      <c r="C248" t="s">
        <v>30</v>
      </c>
      <c r="D248" t="s">
        <v>549</v>
      </c>
      <c r="E248" t="s">
        <v>82</v>
      </c>
      <c r="F248" t="s">
        <v>84</v>
      </c>
      <c r="G248" t="s">
        <v>41</v>
      </c>
      <c r="H248" t="s">
        <v>53</v>
      </c>
      <c r="I248" s="4">
        <f>IFERROR(VLOOKUP(G248,SKU_Cost_Input!$A$2:$E$15,4,FALSE),0)</f>
        <v>0</v>
      </c>
      <c r="J248" s="4">
        <f>IFERROR(VLOOKUP(G248,SKU_Cost_Input!$A$2:$E$15,2,FALSE),0)</f>
        <v>100</v>
      </c>
      <c r="K248" s="4">
        <f t="shared" si="6"/>
        <v>0</v>
      </c>
      <c r="L248" s="4">
        <f t="shared" si="7"/>
        <v>0</v>
      </c>
      <c r="M248" t="s">
        <v>85</v>
      </c>
    </row>
    <row r="249" spans="1:13" ht="16.05" customHeight="1">
      <c r="A249" t="s">
        <v>553</v>
      </c>
      <c r="B249" t="s">
        <v>552</v>
      </c>
      <c r="C249" t="s">
        <v>30</v>
      </c>
      <c r="D249" t="s">
        <v>556</v>
      </c>
      <c r="E249" t="s">
        <v>82</v>
      </c>
      <c r="F249" t="s">
        <v>84</v>
      </c>
      <c r="G249" t="s">
        <v>40</v>
      </c>
      <c r="H249" t="s">
        <v>51</v>
      </c>
      <c r="I249" s="4">
        <f>IFERROR(VLOOKUP(G249,SKU_Cost_Input!$A$2:$E$15,4,FALSE),0)</f>
        <v>0</v>
      </c>
      <c r="J249" s="4">
        <f>IFERROR(VLOOKUP(G249,SKU_Cost_Input!$A$2:$E$15,2,FALSE),0)</f>
        <v>130</v>
      </c>
      <c r="K249" s="4">
        <f t="shared" si="6"/>
        <v>0</v>
      </c>
      <c r="L249" s="4">
        <f t="shared" si="7"/>
        <v>0</v>
      </c>
      <c r="M249" t="s">
        <v>85</v>
      </c>
    </row>
    <row r="250" spans="1:13" ht="16.05" customHeight="1">
      <c r="A250" t="s">
        <v>553</v>
      </c>
      <c r="B250" t="s">
        <v>552</v>
      </c>
      <c r="C250" t="s">
        <v>30</v>
      </c>
      <c r="D250" t="s">
        <v>556</v>
      </c>
      <c r="E250" t="s">
        <v>82</v>
      </c>
      <c r="F250" t="s">
        <v>84</v>
      </c>
      <c r="G250" t="s">
        <v>41</v>
      </c>
      <c r="H250" t="s">
        <v>53</v>
      </c>
      <c r="I250" s="4">
        <f>IFERROR(VLOOKUP(G250,SKU_Cost_Input!$A$2:$E$15,4,FALSE),0)</f>
        <v>0</v>
      </c>
      <c r="J250" s="4">
        <f>IFERROR(VLOOKUP(G250,SKU_Cost_Input!$A$2:$E$15,2,FALSE),0)</f>
        <v>100</v>
      </c>
      <c r="K250" s="4">
        <f t="shared" si="6"/>
        <v>0</v>
      </c>
      <c r="L250" s="4">
        <f t="shared" si="7"/>
        <v>0</v>
      </c>
      <c r="M250" t="s">
        <v>85</v>
      </c>
    </row>
    <row r="251" spans="1:13" ht="16.05" customHeight="1">
      <c r="A251" t="s">
        <v>560</v>
      </c>
      <c r="B251" t="s">
        <v>559</v>
      </c>
      <c r="C251" t="s">
        <v>30</v>
      </c>
      <c r="D251" t="s">
        <v>562</v>
      </c>
      <c r="E251" t="s">
        <v>82</v>
      </c>
      <c r="F251" t="s">
        <v>84</v>
      </c>
      <c r="G251" t="s">
        <v>40</v>
      </c>
      <c r="H251" t="s">
        <v>51</v>
      </c>
      <c r="I251" s="4">
        <f>IFERROR(VLOOKUP(G251,SKU_Cost_Input!$A$2:$E$15,4,FALSE),0)</f>
        <v>0</v>
      </c>
      <c r="J251" s="4">
        <f>IFERROR(VLOOKUP(G251,SKU_Cost_Input!$A$2:$E$15,2,FALSE),0)</f>
        <v>130</v>
      </c>
      <c r="K251" s="4">
        <f t="shared" si="6"/>
        <v>0</v>
      </c>
      <c r="L251" s="4">
        <f t="shared" si="7"/>
        <v>0</v>
      </c>
      <c r="M251" t="s">
        <v>85</v>
      </c>
    </row>
    <row r="252" spans="1:13" ht="16.05" customHeight="1">
      <c r="A252" t="s">
        <v>560</v>
      </c>
      <c r="B252" t="s">
        <v>559</v>
      </c>
      <c r="C252" t="s">
        <v>30</v>
      </c>
      <c r="D252" t="s">
        <v>562</v>
      </c>
      <c r="E252" t="s">
        <v>82</v>
      </c>
      <c r="F252" t="s">
        <v>84</v>
      </c>
      <c r="G252" t="s">
        <v>43</v>
      </c>
      <c r="H252" t="s">
        <v>54</v>
      </c>
      <c r="I252" s="4">
        <f>IFERROR(VLOOKUP(G252,SKU_Cost_Input!$A$2:$E$15,4,FALSE),0)</f>
        <v>0</v>
      </c>
      <c r="J252" s="4">
        <f>IFERROR(VLOOKUP(G252,SKU_Cost_Input!$A$2:$E$15,2,FALSE),0)</f>
        <v>50</v>
      </c>
      <c r="K252" s="4">
        <f t="shared" si="6"/>
        <v>0</v>
      </c>
      <c r="L252" s="4">
        <f t="shared" si="7"/>
        <v>0</v>
      </c>
      <c r="M252" t="s">
        <v>85</v>
      </c>
    </row>
    <row r="253" spans="1:13" ht="16.05" customHeight="1">
      <c r="A253" t="s">
        <v>560</v>
      </c>
      <c r="B253" t="s">
        <v>559</v>
      </c>
      <c r="C253" t="s">
        <v>30</v>
      </c>
      <c r="D253" t="s">
        <v>562</v>
      </c>
      <c r="E253" t="s">
        <v>82</v>
      </c>
      <c r="F253" t="s">
        <v>84</v>
      </c>
      <c r="G253" t="s">
        <v>42</v>
      </c>
      <c r="H253" t="s">
        <v>54</v>
      </c>
      <c r="I253" s="4">
        <f>IFERROR(VLOOKUP(G253,SKU_Cost_Input!$A$2:$E$15,4,FALSE),0)</f>
        <v>0</v>
      </c>
      <c r="J253" s="4">
        <f>IFERROR(VLOOKUP(G253,SKU_Cost_Input!$A$2:$E$15,2,FALSE),0)</f>
        <v>52</v>
      </c>
      <c r="K253" s="4">
        <f t="shared" si="6"/>
        <v>0</v>
      </c>
      <c r="L253" s="4">
        <f t="shared" si="7"/>
        <v>0</v>
      </c>
      <c r="M253" t="s">
        <v>85</v>
      </c>
    </row>
    <row r="254" spans="1:13" ht="16.05" customHeight="1">
      <c r="A254" t="s">
        <v>560</v>
      </c>
      <c r="B254" t="s">
        <v>559</v>
      </c>
      <c r="C254" t="s">
        <v>30</v>
      </c>
      <c r="D254" t="s">
        <v>562</v>
      </c>
      <c r="E254" t="s">
        <v>82</v>
      </c>
      <c r="F254" t="s">
        <v>84</v>
      </c>
      <c r="G254" t="s">
        <v>45</v>
      </c>
      <c r="H254" t="s">
        <v>53</v>
      </c>
      <c r="I254" s="4">
        <f>IFERROR(VLOOKUP(G254,SKU_Cost_Input!$A$2:$E$15,4,FALSE),0)</f>
        <v>0</v>
      </c>
      <c r="J254" s="4">
        <f>IFERROR(VLOOKUP(G254,SKU_Cost_Input!$A$2:$E$15,2,FALSE),0)</f>
        <v>14</v>
      </c>
      <c r="K254" s="4">
        <f t="shared" si="6"/>
        <v>0</v>
      </c>
      <c r="L254" s="4">
        <f t="shared" si="7"/>
        <v>0</v>
      </c>
      <c r="M254" t="s">
        <v>85</v>
      </c>
    </row>
    <row r="255" spans="1:13" ht="16.05" customHeight="1">
      <c r="A255" t="s">
        <v>566</v>
      </c>
      <c r="B255" t="s">
        <v>565</v>
      </c>
      <c r="C255" t="s">
        <v>30</v>
      </c>
      <c r="D255" t="s">
        <v>568</v>
      </c>
      <c r="E255" t="s">
        <v>82</v>
      </c>
      <c r="F255" t="s">
        <v>84</v>
      </c>
      <c r="G255" t="s">
        <v>44</v>
      </c>
      <c r="H255" t="s">
        <v>53</v>
      </c>
      <c r="I255" s="4">
        <f>IFERROR(VLOOKUP(G255,SKU_Cost_Input!$A$2:$E$15,4,FALSE),0)</f>
        <v>0</v>
      </c>
      <c r="J255" s="4">
        <f>IFERROR(VLOOKUP(G255,SKU_Cost_Input!$A$2:$E$15,2,FALSE),0)</f>
        <v>21</v>
      </c>
      <c r="K255" s="4">
        <f t="shared" si="6"/>
        <v>0</v>
      </c>
      <c r="L255" s="4">
        <f t="shared" si="7"/>
        <v>0</v>
      </c>
      <c r="M255" t="s">
        <v>85</v>
      </c>
    </row>
    <row r="256" spans="1:13" ht="16.05" customHeight="1">
      <c r="A256" t="s">
        <v>566</v>
      </c>
      <c r="B256" t="s">
        <v>565</v>
      </c>
      <c r="C256" t="s">
        <v>30</v>
      </c>
      <c r="D256" t="s">
        <v>568</v>
      </c>
      <c r="E256" t="s">
        <v>82</v>
      </c>
      <c r="F256" t="s">
        <v>84</v>
      </c>
      <c r="G256" t="s">
        <v>40</v>
      </c>
      <c r="H256" t="s">
        <v>51</v>
      </c>
      <c r="I256" s="4">
        <f>IFERROR(VLOOKUP(G256,SKU_Cost_Input!$A$2:$E$15,4,FALSE),0)</f>
        <v>0</v>
      </c>
      <c r="J256" s="4">
        <f>IFERROR(VLOOKUP(G256,SKU_Cost_Input!$A$2:$E$15,2,FALSE),0)</f>
        <v>130</v>
      </c>
      <c r="K256" s="4">
        <f t="shared" si="6"/>
        <v>0</v>
      </c>
      <c r="L256" s="4">
        <f t="shared" si="7"/>
        <v>0</v>
      </c>
      <c r="M256" t="s">
        <v>85</v>
      </c>
    </row>
    <row r="257" spans="1:13" ht="16.05" customHeight="1">
      <c r="A257" t="s">
        <v>566</v>
      </c>
      <c r="B257" t="s">
        <v>565</v>
      </c>
      <c r="C257" t="s">
        <v>30</v>
      </c>
      <c r="D257" t="s">
        <v>568</v>
      </c>
      <c r="E257" t="s">
        <v>82</v>
      </c>
      <c r="F257" t="s">
        <v>84</v>
      </c>
      <c r="G257" t="s">
        <v>43</v>
      </c>
      <c r="H257" t="s">
        <v>54</v>
      </c>
      <c r="I257" s="4">
        <f>IFERROR(VLOOKUP(G257,SKU_Cost_Input!$A$2:$E$15,4,FALSE),0)</f>
        <v>0</v>
      </c>
      <c r="J257" s="4">
        <f>IFERROR(VLOOKUP(G257,SKU_Cost_Input!$A$2:$E$15,2,FALSE),0)</f>
        <v>50</v>
      </c>
      <c r="K257" s="4">
        <f t="shared" si="6"/>
        <v>0</v>
      </c>
      <c r="L257" s="4">
        <f t="shared" si="7"/>
        <v>0</v>
      </c>
      <c r="M257" t="s">
        <v>85</v>
      </c>
    </row>
    <row r="258" spans="1:13" ht="16.05" customHeight="1">
      <c r="A258" t="s">
        <v>571</v>
      </c>
      <c r="B258" t="s">
        <v>570</v>
      </c>
      <c r="C258" t="s">
        <v>30</v>
      </c>
      <c r="D258" t="s">
        <v>574</v>
      </c>
      <c r="E258" t="s">
        <v>82</v>
      </c>
      <c r="F258" t="s">
        <v>84</v>
      </c>
      <c r="G258" t="s">
        <v>44</v>
      </c>
      <c r="H258" t="s">
        <v>53</v>
      </c>
      <c r="I258" s="4">
        <f>IFERROR(VLOOKUP(G258,SKU_Cost_Input!$A$2:$E$15,4,FALSE),0)</f>
        <v>0</v>
      </c>
      <c r="J258" s="4">
        <f>IFERROR(VLOOKUP(G258,SKU_Cost_Input!$A$2:$E$15,2,FALSE),0)</f>
        <v>21</v>
      </c>
      <c r="K258" s="4">
        <f t="shared" ref="K258:K321" si="8">IF(J258=0,0,I258/J258)</f>
        <v>0</v>
      </c>
      <c r="L258" s="4">
        <f t="shared" ref="L258:L321" si="9">K258</f>
        <v>0</v>
      </c>
      <c r="M258" t="s">
        <v>85</v>
      </c>
    </row>
    <row r="259" spans="1:13" ht="16.05" customHeight="1">
      <c r="A259" t="s">
        <v>571</v>
      </c>
      <c r="B259" t="s">
        <v>570</v>
      </c>
      <c r="C259" t="s">
        <v>30</v>
      </c>
      <c r="D259" t="s">
        <v>574</v>
      </c>
      <c r="E259" t="s">
        <v>82</v>
      </c>
      <c r="F259" t="s">
        <v>84</v>
      </c>
      <c r="G259" t="s">
        <v>40</v>
      </c>
      <c r="H259" t="s">
        <v>51</v>
      </c>
      <c r="I259" s="4">
        <f>IFERROR(VLOOKUP(G259,SKU_Cost_Input!$A$2:$E$15,4,FALSE),0)</f>
        <v>0</v>
      </c>
      <c r="J259" s="4">
        <f>IFERROR(VLOOKUP(G259,SKU_Cost_Input!$A$2:$E$15,2,FALSE),0)</f>
        <v>130</v>
      </c>
      <c r="K259" s="4">
        <f t="shared" si="8"/>
        <v>0</v>
      </c>
      <c r="L259" s="4">
        <f t="shared" si="9"/>
        <v>0</v>
      </c>
      <c r="M259" t="s">
        <v>85</v>
      </c>
    </row>
    <row r="260" spans="1:13" ht="16.05" customHeight="1">
      <c r="A260" t="s">
        <v>577</v>
      </c>
      <c r="B260" t="s">
        <v>576</v>
      </c>
      <c r="C260" t="s">
        <v>30</v>
      </c>
      <c r="D260" t="s">
        <v>580</v>
      </c>
      <c r="E260" t="s">
        <v>82</v>
      </c>
      <c r="F260" t="s">
        <v>84</v>
      </c>
      <c r="G260" t="s">
        <v>40</v>
      </c>
      <c r="H260" t="s">
        <v>51</v>
      </c>
      <c r="I260" s="4">
        <f>IFERROR(VLOOKUP(G260,SKU_Cost_Input!$A$2:$E$15,4,FALSE),0)</f>
        <v>0</v>
      </c>
      <c r="J260" s="4">
        <f>IFERROR(VLOOKUP(G260,SKU_Cost_Input!$A$2:$E$15,2,FALSE),0)</f>
        <v>130</v>
      </c>
      <c r="K260" s="4">
        <f t="shared" si="8"/>
        <v>0</v>
      </c>
      <c r="L260" s="4">
        <f t="shared" si="9"/>
        <v>0</v>
      </c>
      <c r="M260" t="s">
        <v>85</v>
      </c>
    </row>
    <row r="261" spans="1:13" ht="16.05" customHeight="1">
      <c r="A261" t="s">
        <v>577</v>
      </c>
      <c r="B261" t="s">
        <v>576</v>
      </c>
      <c r="C261" t="s">
        <v>30</v>
      </c>
      <c r="D261" t="s">
        <v>580</v>
      </c>
      <c r="E261" t="s">
        <v>82</v>
      </c>
      <c r="F261" t="s">
        <v>84</v>
      </c>
      <c r="G261" t="s">
        <v>41</v>
      </c>
      <c r="H261" t="s">
        <v>53</v>
      </c>
      <c r="I261" s="4">
        <f>IFERROR(VLOOKUP(G261,SKU_Cost_Input!$A$2:$E$15,4,FALSE),0)</f>
        <v>0</v>
      </c>
      <c r="J261" s="4">
        <f>IFERROR(VLOOKUP(G261,SKU_Cost_Input!$A$2:$E$15,2,FALSE),0)</f>
        <v>100</v>
      </c>
      <c r="K261" s="4">
        <f t="shared" si="8"/>
        <v>0</v>
      </c>
      <c r="L261" s="4">
        <f t="shared" si="9"/>
        <v>0</v>
      </c>
      <c r="M261" t="s">
        <v>85</v>
      </c>
    </row>
    <row r="262" spans="1:13" ht="16.05" customHeight="1">
      <c r="A262" t="s">
        <v>583</v>
      </c>
      <c r="B262" t="s">
        <v>582</v>
      </c>
      <c r="C262" t="s">
        <v>30</v>
      </c>
      <c r="E262" t="s">
        <v>279</v>
      </c>
      <c r="F262" t="s">
        <v>84</v>
      </c>
      <c r="G262" t="s">
        <v>42</v>
      </c>
      <c r="H262" t="s">
        <v>54</v>
      </c>
      <c r="I262" s="4">
        <f>IFERROR(VLOOKUP(G262,SKU_Cost_Input!$A$2:$E$15,4,FALSE),0)</f>
        <v>0</v>
      </c>
      <c r="J262" s="4">
        <f>IFERROR(VLOOKUP(G262,SKU_Cost_Input!$A$2:$E$15,2,FALSE),0)</f>
        <v>52</v>
      </c>
      <c r="K262" s="4">
        <f t="shared" si="8"/>
        <v>0</v>
      </c>
      <c r="L262" s="4">
        <f t="shared" si="9"/>
        <v>0</v>
      </c>
      <c r="M262" t="s">
        <v>280</v>
      </c>
    </row>
    <row r="263" spans="1:13" ht="16.05" customHeight="1">
      <c r="A263" t="s">
        <v>583</v>
      </c>
      <c r="B263" t="s">
        <v>582</v>
      </c>
      <c r="C263" t="s">
        <v>30</v>
      </c>
      <c r="E263" t="s">
        <v>279</v>
      </c>
      <c r="F263" t="s">
        <v>84</v>
      </c>
      <c r="G263" t="s">
        <v>43</v>
      </c>
      <c r="H263" t="s">
        <v>54</v>
      </c>
      <c r="I263" s="4">
        <f>IFERROR(VLOOKUP(G263,SKU_Cost_Input!$A$2:$E$15,4,FALSE),0)</f>
        <v>0</v>
      </c>
      <c r="J263" s="4">
        <f>IFERROR(VLOOKUP(G263,SKU_Cost_Input!$A$2:$E$15,2,FALSE),0)</f>
        <v>50</v>
      </c>
      <c r="K263" s="4">
        <f t="shared" si="8"/>
        <v>0</v>
      </c>
      <c r="L263" s="4">
        <f t="shared" si="9"/>
        <v>0</v>
      </c>
      <c r="M263" t="s">
        <v>280</v>
      </c>
    </row>
    <row r="264" spans="1:13" ht="16.05" customHeight="1">
      <c r="A264" t="s">
        <v>586</v>
      </c>
      <c r="B264" t="s">
        <v>585</v>
      </c>
      <c r="C264" t="s">
        <v>30</v>
      </c>
      <c r="D264" t="s">
        <v>589</v>
      </c>
      <c r="E264" t="s">
        <v>82</v>
      </c>
      <c r="F264" t="s">
        <v>84</v>
      </c>
      <c r="G264" t="s">
        <v>42</v>
      </c>
      <c r="H264" t="s">
        <v>54</v>
      </c>
      <c r="I264" s="4">
        <f>IFERROR(VLOOKUP(G264,SKU_Cost_Input!$A$2:$E$15,4,FALSE),0)</f>
        <v>0</v>
      </c>
      <c r="J264" s="4">
        <f>IFERROR(VLOOKUP(G264,SKU_Cost_Input!$A$2:$E$15,2,FALSE),0)</f>
        <v>52</v>
      </c>
      <c r="K264" s="4">
        <f t="shared" si="8"/>
        <v>0</v>
      </c>
      <c r="L264" s="4">
        <f t="shared" si="9"/>
        <v>0</v>
      </c>
      <c r="M264" t="s">
        <v>85</v>
      </c>
    </row>
    <row r="265" spans="1:13" ht="16.05" customHeight="1">
      <c r="A265" t="s">
        <v>586</v>
      </c>
      <c r="B265" t="s">
        <v>585</v>
      </c>
      <c r="C265" t="s">
        <v>30</v>
      </c>
      <c r="D265" t="s">
        <v>589</v>
      </c>
      <c r="E265" t="s">
        <v>82</v>
      </c>
      <c r="F265" t="s">
        <v>84</v>
      </c>
      <c r="G265" t="s">
        <v>40</v>
      </c>
      <c r="H265" t="s">
        <v>51</v>
      </c>
      <c r="I265" s="4">
        <f>IFERROR(VLOOKUP(G265,SKU_Cost_Input!$A$2:$E$15,4,FALSE),0)</f>
        <v>0</v>
      </c>
      <c r="J265" s="4">
        <f>IFERROR(VLOOKUP(G265,SKU_Cost_Input!$A$2:$E$15,2,FALSE),0)</f>
        <v>130</v>
      </c>
      <c r="K265" s="4">
        <f t="shared" si="8"/>
        <v>0</v>
      </c>
      <c r="L265" s="4">
        <f t="shared" si="9"/>
        <v>0</v>
      </c>
      <c r="M265" t="s">
        <v>85</v>
      </c>
    </row>
    <row r="266" spans="1:13" ht="16.05" customHeight="1">
      <c r="A266" t="s">
        <v>586</v>
      </c>
      <c r="B266" t="s">
        <v>585</v>
      </c>
      <c r="C266" t="s">
        <v>30</v>
      </c>
      <c r="D266" t="s">
        <v>589</v>
      </c>
      <c r="E266" t="s">
        <v>82</v>
      </c>
      <c r="F266" t="s">
        <v>84</v>
      </c>
      <c r="G266" t="s">
        <v>41</v>
      </c>
      <c r="H266" t="s">
        <v>53</v>
      </c>
      <c r="I266" s="4">
        <f>IFERROR(VLOOKUP(G266,SKU_Cost_Input!$A$2:$E$15,4,FALSE),0)</f>
        <v>0</v>
      </c>
      <c r="J266" s="4">
        <f>IFERROR(VLOOKUP(G266,SKU_Cost_Input!$A$2:$E$15,2,FALSE),0)</f>
        <v>100</v>
      </c>
      <c r="K266" s="4">
        <f t="shared" si="8"/>
        <v>0</v>
      </c>
      <c r="L266" s="4">
        <f t="shared" si="9"/>
        <v>0</v>
      </c>
      <c r="M266" t="s">
        <v>85</v>
      </c>
    </row>
    <row r="267" spans="1:13" ht="16.05" customHeight="1">
      <c r="A267" t="s">
        <v>593</v>
      </c>
      <c r="B267" t="s">
        <v>592</v>
      </c>
      <c r="C267" t="s">
        <v>30</v>
      </c>
      <c r="D267" t="s">
        <v>595</v>
      </c>
      <c r="E267" t="s">
        <v>82</v>
      </c>
      <c r="F267" t="s">
        <v>84</v>
      </c>
      <c r="G267" t="s">
        <v>44</v>
      </c>
      <c r="H267" t="s">
        <v>53</v>
      </c>
      <c r="I267" s="4">
        <f>IFERROR(VLOOKUP(G267,SKU_Cost_Input!$A$2:$E$15,4,FALSE),0)</f>
        <v>0</v>
      </c>
      <c r="J267" s="4">
        <f>IFERROR(VLOOKUP(G267,SKU_Cost_Input!$A$2:$E$15,2,FALSE),0)</f>
        <v>21</v>
      </c>
      <c r="K267" s="4">
        <f t="shared" si="8"/>
        <v>0</v>
      </c>
      <c r="L267" s="4">
        <f t="shared" si="9"/>
        <v>0</v>
      </c>
      <c r="M267" t="s">
        <v>85</v>
      </c>
    </row>
    <row r="268" spans="1:13" ht="16.05" customHeight="1">
      <c r="A268" t="s">
        <v>593</v>
      </c>
      <c r="B268" t="s">
        <v>592</v>
      </c>
      <c r="C268" t="s">
        <v>30</v>
      </c>
      <c r="D268" t="s">
        <v>595</v>
      </c>
      <c r="E268" t="s">
        <v>82</v>
      </c>
      <c r="F268" t="s">
        <v>84</v>
      </c>
      <c r="G268" t="s">
        <v>40</v>
      </c>
      <c r="H268" t="s">
        <v>51</v>
      </c>
      <c r="I268" s="4">
        <f>IFERROR(VLOOKUP(G268,SKU_Cost_Input!$A$2:$E$15,4,FALSE),0)</f>
        <v>0</v>
      </c>
      <c r="J268" s="4">
        <f>IFERROR(VLOOKUP(G268,SKU_Cost_Input!$A$2:$E$15,2,FALSE),0)</f>
        <v>130</v>
      </c>
      <c r="K268" s="4">
        <f t="shared" si="8"/>
        <v>0</v>
      </c>
      <c r="L268" s="4">
        <f t="shared" si="9"/>
        <v>0</v>
      </c>
      <c r="M268" t="s">
        <v>85</v>
      </c>
    </row>
    <row r="269" spans="1:13" ht="16.05" customHeight="1">
      <c r="A269" t="s">
        <v>593</v>
      </c>
      <c r="B269" t="s">
        <v>592</v>
      </c>
      <c r="C269" t="s">
        <v>30</v>
      </c>
      <c r="D269" t="s">
        <v>595</v>
      </c>
      <c r="E269" t="s">
        <v>82</v>
      </c>
      <c r="F269" t="s">
        <v>84</v>
      </c>
      <c r="G269" t="s">
        <v>56</v>
      </c>
      <c r="H269" t="s">
        <v>54</v>
      </c>
      <c r="I269" s="4">
        <f>IFERROR(VLOOKUP(G269,SKU_Cost_Input!$A$2:$E$15,4,FALSE),0)</f>
        <v>0</v>
      </c>
      <c r="J269" s="4">
        <f>IFERROR(VLOOKUP(G269,SKU_Cost_Input!$A$2:$E$15,2,FALSE),0)</f>
        <v>6</v>
      </c>
      <c r="K269" s="4">
        <f t="shared" si="8"/>
        <v>0</v>
      </c>
      <c r="L269" s="4">
        <f t="shared" si="9"/>
        <v>0</v>
      </c>
      <c r="M269" t="s">
        <v>85</v>
      </c>
    </row>
    <row r="270" spans="1:13" ht="16.05" customHeight="1">
      <c r="A270" t="s">
        <v>593</v>
      </c>
      <c r="B270" t="s">
        <v>592</v>
      </c>
      <c r="C270" t="s">
        <v>30</v>
      </c>
      <c r="D270" t="s">
        <v>595</v>
      </c>
      <c r="E270" t="s">
        <v>82</v>
      </c>
      <c r="F270" t="s">
        <v>84</v>
      </c>
      <c r="G270" t="s">
        <v>43</v>
      </c>
      <c r="H270" t="s">
        <v>54</v>
      </c>
      <c r="I270" s="4">
        <f>IFERROR(VLOOKUP(G270,SKU_Cost_Input!$A$2:$E$15,4,FALSE),0)</f>
        <v>0</v>
      </c>
      <c r="J270" s="4">
        <f>IFERROR(VLOOKUP(G270,SKU_Cost_Input!$A$2:$E$15,2,FALSE),0)</f>
        <v>50</v>
      </c>
      <c r="K270" s="4">
        <f t="shared" si="8"/>
        <v>0</v>
      </c>
      <c r="L270" s="4">
        <f t="shared" si="9"/>
        <v>0</v>
      </c>
      <c r="M270" t="s">
        <v>85</v>
      </c>
    </row>
    <row r="271" spans="1:13" ht="16.05" customHeight="1">
      <c r="A271" t="s">
        <v>593</v>
      </c>
      <c r="B271" t="s">
        <v>592</v>
      </c>
      <c r="C271" t="s">
        <v>30</v>
      </c>
      <c r="D271" t="s">
        <v>595</v>
      </c>
      <c r="E271" t="s">
        <v>82</v>
      </c>
      <c r="F271" t="s">
        <v>84</v>
      </c>
      <c r="G271" t="s">
        <v>42</v>
      </c>
      <c r="H271" t="s">
        <v>54</v>
      </c>
      <c r="I271" s="4">
        <f>IFERROR(VLOOKUP(G271,SKU_Cost_Input!$A$2:$E$15,4,FALSE),0)</f>
        <v>0</v>
      </c>
      <c r="J271" s="4">
        <f>IFERROR(VLOOKUP(G271,SKU_Cost_Input!$A$2:$E$15,2,FALSE),0)</f>
        <v>52</v>
      </c>
      <c r="K271" s="4">
        <f t="shared" si="8"/>
        <v>0</v>
      </c>
      <c r="L271" s="4">
        <f t="shared" si="9"/>
        <v>0</v>
      </c>
      <c r="M271" t="s">
        <v>85</v>
      </c>
    </row>
    <row r="272" spans="1:13" ht="16.05" customHeight="1">
      <c r="A272" t="s">
        <v>599</v>
      </c>
      <c r="B272" t="s">
        <v>598</v>
      </c>
      <c r="C272" t="s">
        <v>30</v>
      </c>
      <c r="D272" t="s">
        <v>602</v>
      </c>
      <c r="E272" t="s">
        <v>82</v>
      </c>
      <c r="F272" t="s">
        <v>84</v>
      </c>
      <c r="G272" t="s">
        <v>40</v>
      </c>
      <c r="H272" t="s">
        <v>51</v>
      </c>
      <c r="I272" s="4">
        <f>IFERROR(VLOOKUP(G272,SKU_Cost_Input!$A$2:$E$15,4,FALSE),0)</f>
        <v>0</v>
      </c>
      <c r="J272" s="4">
        <f>IFERROR(VLOOKUP(G272,SKU_Cost_Input!$A$2:$E$15,2,FALSE),0)</f>
        <v>130</v>
      </c>
      <c r="K272" s="4">
        <f t="shared" si="8"/>
        <v>0</v>
      </c>
      <c r="L272" s="4">
        <f t="shared" si="9"/>
        <v>0</v>
      </c>
      <c r="M272" t="s">
        <v>85</v>
      </c>
    </row>
    <row r="273" spans="1:13" ht="16.05" customHeight="1">
      <c r="A273" t="s">
        <v>599</v>
      </c>
      <c r="B273" t="s">
        <v>598</v>
      </c>
      <c r="C273" t="s">
        <v>30</v>
      </c>
      <c r="D273" t="s">
        <v>602</v>
      </c>
      <c r="E273" t="s">
        <v>82</v>
      </c>
      <c r="F273" t="s">
        <v>84</v>
      </c>
      <c r="G273" t="s">
        <v>41</v>
      </c>
      <c r="H273" t="s">
        <v>53</v>
      </c>
      <c r="I273" s="4">
        <f>IFERROR(VLOOKUP(G273,SKU_Cost_Input!$A$2:$E$15,4,FALSE),0)</f>
        <v>0</v>
      </c>
      <c r="J273" s="4">
        <f>IFERROR(VLOOKUP(G273,SKU_Cost_Input!$A$2:$E$15,2,FALSE),0)</f>
        <v>100</v>
      </c>
      <c r="K273" s="4">
        <f t="shared" si="8"/>
        <v>0</v>
      </c>
      <c r="L273" s="4">
        <f t="shared" si="9"/>
        <v>0</v>
      </c>
      <c r="M273" t="s">
        <v>85</v>
      </c>
    </row>
    <row r="274" spans="1:13" ht="16.05" customHeight="1">
      <c r="A274" t="s">
        <v>605</v>
      </c>
      <c r="B274" t="s">
        <v>604</v>
      </c>
      <c r="C274" t="s">
        <v>30</v>
      </c>
      <c r="D274" t="s">
        <v>608</v>
      </c>
      <c r="E274" t="s">
        <v>82</v>
      </c>
      <c r="F274" t="s">
        <v>84</v>
      </c>
      <c r="G274" t="s">
        <v>40</v>
      </c>
      <c r="H274" t="s">
        <v>51</v>
      </c>
      <c r="I274" s="4">
        <f>IFERROR(VLOOKUP(G274,SKU_Cost_Input!$A$2:$E$15,4,FALSE),0)</f>
        <v>0</v>
      </c>
      <c r="J274" s="4">
        <f>IFERROR(VLOOKUP(G274,SKU_Cost_Input!$A$2:$E$15,2,FALSE),0)</f>
        <v>130</v>
      </c>
      <c r="K274" s="4">
        <f t="shared" si="8"/>
        <v>0</v>
      </c>
      <c r="L274" s="4">
        <f t="shared" si="9"/>
        <v>0</v>
      </c>
      <c r="M274" t="s">
        <v>85</v>
      </c>
    </row>
    <row r="275" spans="1:13" ht="16.05" customHeight="1">
      <c r="A275" t="s">
        <v>605</v>
      </c>
      <c r="B275" t="s">
        <v>604</v>
      </c>
      <c r="C275" t="s">
        <v>30</v>
      </c>
      <c r="D275" t="s">
        <v>608</v>
      </c>
      <c r="E275" t="s">
        <v>82</v>
      </c>
      <c r="F275" t="s">
        <v>84</v>
      </c>
      <c r="G275" t="s">
        <v>41</v>
      </c>
      <c r="H275" t="s">
        <v>53</v>
      </c>
      <c r="I275" s="4">
        <f>IFERROR(VLOOKUP(G275,SKU_Cost_Input!$A$2:$E$15,4,FALSE),0)</f>
        <v>0</v>
      </c>
      <c r="J275" s="4">
        <f>IFERROR(VLOOKUP(G275,SKU_Cost_Input!$A$2:$E$15,2,FALSE),0)</f>
        <v>100</v>
      </c>
      <c r="K275" s="4">
        <f t="shared" si="8"/>
        <v>0</v>
      </c>
      <c r="L275" s="4">
        <f t="shared" si="9"/>
        <v>0</v>
      </c>
      <c r="M275" t="s">
        <v>85</v>
      </c>
    </row>
    <row r="276" spans="1:13" ht="16.05" customHeight="1">
      <c r="A276" t="s">
        <v>611</v>
      </c>
      <c r="B276" t="s">
        <v>610</v>
      </c>
      <c r="C276" t="s">
        <v>30</v>
      </c>
      <c r="D276" t="s">
        <v>614</v>
      </c>
      <c r="E276" t="s">
        <v>82</v>
      </c>
      <c r="F276" t="s">
        <v>84</v>
      </c>
      <c r="G276" t="s">
        <v>40</v>
      </c>
      <c r="H276" t="s">
        <v>51</v>
      </c>
      <c r="I276" s="4">
        <f>IFERROR(VLOOKUP(G276,SKU_Cost_Input!$A$2:$E$15,4,FALSE),0)</f>
        <v>0</v>
      </c>
      <c r="J276" s="4">
        <f>IFERROR(VLOOKUP(G276,SKU_Cost_Input!$A$2:$E$15,2,FALSE),0)</f>
        <v>130</v>
      </c>
      <c r="K276" s="4">
        <f t="shared" si="8"/>
        <v>0</v>
      </c>
      <c r="L276" s="4">
        <f t="shared" si="9"/>
        <v>0</v>
      </c>
      <c r="M276" t="s">
        <v>85</v>
      </c>
    </row>
    <row r="277" spans="1:13" ht="16.05" customHeight="1">
      <c r="A277" t="s">
        <v>611</v>
      </c>
      <c r="B277" t="s">
        <v>610</v>
      </c>
      <c r="C277" t="s">
        <v>30</v>
      </c>
      <c r="D277" t="s">
        <v>614</v>
      </c>
      <c r="E277" t="s">
        <v>82</v>
      </c>
      <c r="F277" t="s">
        <v>84</v>
      </c>
      <c r="G277" t="s">
        <v>42</v>
      </c>
      <c r="H277" t="s">
        <v>54</v>
      </c>
      <c r="I277" s="4">
        <f>IFERROR(VLOOKUP(G277,SKU_Cost_Input!$A$2:$E$15,4,FALSE),0)</f>
        <v>0</v>
      </c>
      <c r="J277" s="4">
        <f>IFERROR(VLOOKUP(G277,SKU_Cost_Input!$A$2:$E$15,2,FALSE),0)</f>
        <v>52</v>
      </c>
      <c r="K277" s="4">
        <f t="shared" si="8"/>
        <v>0</v>
      </c>
      <c r="L277" s="4">
        <f t="shared" si="9"/>
        <v>0</v>
      </c>
      <c r="M277" t="s">
        <v>85</v>
      </c>
    </row>
    <row r="278" spans="1:13" ht="16.05" customHeight="1">
      <c r="A278" t="s">
        <v>611</v>
      </c>
      <c r="B278" t="s">
        <v>610</v>
      </c>
      <c r="C278" t="s">
        <v>30</v>
      </c>
      <c r="D278" t="s">
        <v>614</v>
      </c>
      <c r="E278" t="s">
        <v>82</v>
      </c>
      <c r="F278" t="s">
        <v>84</v>
      </c>
      <c r="G278" t="s">
        <v>41</v>
      </c>
      <c r="H278" t="s">
        <v>53</v>
      </c>
      <c r="I278" s="4">
        <f>IFERROR(VLOOKUP(G278,SKU_Cost_Input!$A$2:$E$15,4,FALSE),0)</f>
        <v>0</v>
      </c>
      <c r="J278" s="4">
        <f>IFERROR(VLOOKUP(G278,SKU_Cost_Input!$A$2:$E$15,2,FALSE),0)</f>
        <v>100</v>
      </c>
      <c r="K278" s="4">
        <f t="shared" si="8"/>
        <v>0</v>
      </c>
      <c r="L278" s="4">
        <f t="shared" si="9"/>
        <v>0</v>
      </c>
      <c r="M278" t="s">
        <v>85</v>
      </c>
    </row>
    <row r="279" spans="1:13" ht="16.05" customHeight="1">
      <c r="A279" t="s">
        <v>617</v>
      </c>
      <c r="B279" t="s">
        <v>616</v>
      </c>
      <c r="C279" t="s">
        <v>30</v>
      </c>
      <c r="D279" t="s">
        <v>619</v>
      </c>
      <c r="E279" t="s">
        <v>82</v>
      </c>
      <c r="F279" t="s">
        <v>84</v>
      </c>
      <c r="G279" t="s">
        <v>44</v>
      </c>
      <c r="H279" t="s">
        <v>53</v>
      </c>
      <c r="I279" s="4">
        <f>IFERROR(VLOOKUP(G279,SKU_Cost_Input!$A$2:$E$15,4,FALSE),0)</f>
        <v>0</v>
      </c>
      <c r="J279" s="4">
        <f>IFERROR(VLOOKUP(G279,SKU_Cost_Input!$A$2:$E$15,2,FALSE),0)</f>
        <v>21</v>
      </c>
      <c r="K279" s="4">
        <f t="shared" si="8"/>
        <v>0</v>
      </c>
      <c r="L279" s="4">
        <f t="shared" si="9"/>
        <v>0</v>
      </c>
      <c r="M279" t="s">
        <v>85</v>
      </c>
    </row>
    <row r="280" spans="1:13" ht="16.05" customHeight="1">
      <c r="A280" t="s">
        <v>617</v>
      </c>
      <c r="B280" t="s">
        <v>616</v>
      </c>
      <c r="C280" t="s">
        <v>30</v>
      </c>
      <c r="D280" t="s">
        <v>619</v>
      </c>
      <c r="E280" t="s">
        <v>82</v>
      </c>
      <c r="F280" t="s">
        <v>84</v>
      </c>
      <c r="G280" t="s">
        <v>40</v>
      </c>
      <c r="H280" t="s">
        <v>51</v>
      </c>
      <c r="I280" s="4">
        <f>IFERROR(VLOOKUP(G280,SKU_Cost_Input!$A$2:$E$15,4,FALSE),0)</f>
        <v>0</v>
      </c>
      <c r="J280" s="4">
        <f>IFERROR(VLOOKUP(G280,SKU_Cost_Input!$A$2:$E$15,2,FALSE),0)</f>
        <v>130</v>
      </c>
      <c r="K280" s="4">
        <f t="shared" si="8"/>
        <v>0</v>
      </c>
      <c r="L280" s="4">
        <f t="shared" si="9"/>
        <v>0</v>
      </c>
      <c r="M280" t="s">
        <v>85</v>
      </c>
    </row>
    <row r="281" spans="1:13" ht="16.05" customHeight="1">
      <c r="A281" t="s">
        <v>617</v>
      </c>
      <c r="B281" t="s">
        <v>616</v>
      </c>
      <c r="C281" t="s">
        <v>30</v>
      </c>
      <c r="D281" t="s">
        <v>619</v>
      </c>
      <c r="E281" t="s">
        <v>82</v>
      </c>
      <c r="F281" t="s">
        <v>84</v>
      </c>
      <c r="G281" t="s">
        <v>43</v>
      </c>
      <c r="H281" t="s">
        <v>54</v>
      </c>
      <c r="I281" s="4">
        <f>IFERROR(VLOOKUP(G281,SKU_Cost_Input!$A$2:$E$15,4,FALSE),0)</f>
        <v>0</v>
      </c>
      <c r="J281" s="4">
        <f>IFERROR(VLOOKUP(G281,SKU_Cost_Input!$A$2:$E$15,2,FALSE),0)</f>
        <v>50</v>
      </c>
      <c r="K281" s="4">
        <f t="shared" si="8"/>
        <v>0</v>
      </c>
      <c r="L281" s="4">
        <f t="shared" si="9"/>
        <v>0</v>
      </c>
      <c r="M281" t="s">
        <v>85</v>
      </c>
    </row>
    <row r="282" spans="1:13" ht="16.05" customHeight="1">
      <c r="A282" t="s">
        <v>622</v>
      </c>
      <c r="B282" t="s">
        <v>621</v>
      </c>
      <c r="C282" t="s">
        <v>30</v>
      </c>
      <c r="D282" t="s">
        <v>624</v>
      </c>
      <c r="E282" t="s">
        <v>82</v>
      </c>
      <c r="F282" t="s">
        <v>84</v>
      </c>
      <c r="G282" t="s">
        <v>44</v>
      </c>
      <c r="H282" t="s">
        <v>53</v>
      </c>
      <c r="I282" s="4">
        <f>IFERROR(VLOOKUP(G282,SKU_Cost_Input!$A$2:$E$15,4,FALSE),0)</f>
        <v>0</v>
      </c>
      <c r="J282" s="4">
        <f>IFERROR(VLOOKUP(G282,SKU_Cost_Input!$A$2:$E$15,2,FALSE),0)</f>
        <v>21</v>
      </c>
      <c r="K282" s="4">
        <f t="shared" si="8"/>
        <v>0</v>
      </c>
      <c r="L282" s="4">
        <f t="shared" si="9"/>
        <v>0</v>
      </c>
      <c r="M282" t="s">
        <v>85</v>
      </c>
    </row>
    <row r="283" spans="1:13" ht="16.05" customHeight="1">
      <c r="A283" t="s">
        <v>622</v>
      </c>
      <c r="B283" t="s">
        <v>621</v>
      </c>
      <c r="C283" t="s">
        <v>30</v>
      </c>
      <c r="D283" t="s">
        <v>624</v>
      </c>
      <c r="E283" t="s">
        <v>82</v>
      </c>
      <c r="F283" t="s">
        <v>84</v>
      </c>
      <c r="G283" t="s">
        <v>40</v>
      </c>
      <c r="H283" t="s">
        <v>51</v>
      </c>
      <c r="I283" s="4">
        <f>IFERROR(VLOOKUP(G283,SKU_Cost_Input!$A$2:$E$15,4,FALSE),0)</f>
        <v>0</v>
      </c>
      <c r="J283" s="4">
        <f>IFERROR(VLOOKUP(G283,SKU_Cost_Input!$A$2:$E$15,2,FALSE),0)</f>
        <v>130</v>
      </c>
      <c r="K283" s="4">
        <f t="shared" si="8"/>
        <v>0</v>
      </c>
      <c r="L283" s="4">
        <f t="shared" si="9"/>
        <v>0</v>
      </c>
      <c r="M283" t="s">
        <v>85</v>
      </c>
    </row>
    <row r="284" spans="1:13" ht="16.05" customHeight="1">
      <c r="A284" t="s">
        <v>622</v>
      </c>
      <c r="B284" t="s">
        <v>621</v>
      </c>
      <c r="C284" t="s">
        <v>30</v>
      </c>
      <c r="D284" t="s">
        <v>624</v>
      </c>
      <c r="E284" t="s">
        <v>82</v>
      </c>
      <c r="F284" t="s">
        <v>84</v>
      </c>
      <c r="G284" t="s">
        <v>57</v>
      </c>
      <c r="H284" t="s">
        <v>51</v>
      </c>
      <c r="I284" s="4">
        <f>IFERROR(VLOOKUP(G284,SKU_Cost_Input!$A$2:$E$15,4,FALSE),0)</f>
        <v>0</v>
      </c>
      <c r="J284" s="4">
        <f>IFERROR(VLOOKUP(G284,SKU_Cost_Input!$A$2:$E$15,2,FALSE),0)</f>
        <v>6</v>
      </c>
      <c r="K284" s="4">
        <f t="shared" si="8"/>
        <v>0</v>
      </c>
      <c r="L284" s="4">
        <f t="shared" si="9"/>
        <v>0</v>
      </c>
      <c r="M284" t="s">
        <v>85</v>
      </c>
    </row>
    <row r="285" spans="1:13" ht="16.05" customHeight="1">
      <c r="A285" t="s">
        <v>622</v>
      </c>
      <c r="B285" t="s">
        <v>621</v>
      </c>
      <c r="C285" t="s">
        <v>30</v>
      </c>
      <c r="D285" t="s">
        <v>624</v>
      </c>
      <c r="E285" t="s">
        <v>82</v>
      </c>
      <c r="F285" t="s">
        <v>84</v>
      </c>
      <c r="G285" t="s">
        <v>59</v>
      </c>
      <c r="H285" t="s">
        <v>54</v>
      </c>
      <c r="I285" s="4">
        <f>IFERROR(VLOOKUP(G285,SKU_Cost_Input!$A$2:$E$15,4,FALSE),0)</f>
        <v>0</v>
      </c>
      <c r="J285" s="4">
        <f>IFERROR(VLOOKUP(G285,SKU_Cost_Input!$A$2:$E$15,2,FALSE),0)</f>
        <v>5</v>
      </c>
      <c r="K285" s="4">
        <f t="shared" si="8"/>
        <v>0</v>
      </c>
      <c r="L285" s="4">
        <f t="shared" si="9"/>
        <v>0</v>
      </c>
      <c r="M285" t="s">
        <v>85</v>
      </c>
    </row>
    <row r="286" spans="1:13" ht="16.05" customHeight="1">
      <c r="A286" t="s">
        <v>622</v>
      </c>
      <c r="B286" t="s">
        <v>621</v>
      </c>
      <c r="C286" t="s">
        <v>30</v>
      </c>
      <c r="D286" t="s">
        <v>624</v>
      </c>
      <c r="E286" t="s">
        <v>82</v>
      </c>
      <c r="F286" t="s">
        <v>84</v>
      </c>
      <c r="G286" t="s">
        <v>55</v>
      </c>
      <c r="H286" t="s">
        <v>54</v>
      </c>
      <c r="I286" s="4">
        <f>IFERROR(VLOOKUP(G286,SKU_Cost_Input!$A$2:$E$15,4,FALSE),0)</f>
        <v>0</v>
      </c>
      <c r="J286" s="4">
        <f>IFERROR(VLOOKUP(G286,SKU_Cost_Input!$A$2:$E$15,2,FALSE),0)</f>
        <v>7</v>
      </c>
      <c r="K286" s="4">
        <f t="shared" si="8"/>
        <v>0</v>
      </c>
      <c r="L286" s="4">
        <f t="shared" si="9"/>
        <v>0</v>
      </c>
      <c r="M286" t="s">
        <v>85</v>
      </c>
    </row>
    <row r="287" spans="1:13" ht="16.05" customHeight="1">
      <c r="A287" t="s">
        <v>622</v>
      </c>
      <c r="B287" t="s">
        <v>621</v>
      </c>
      <c r="C287" t="s">
        <v>30</v>
      </c>
      <c r="D287" t="s">
        <v>624</v>
      </c>
      <c r="E287" t="s">
        <v>82</v>
      </c>
      <c r="F287" t="s">
        <v>84</v>
      </c>
      <c r="G287" t="s">
        <v>42</v>
      </c>
      <c r="H287" t="s">
        <v>54</v>
      </c>
      <c r="I287" s="4">
        <f>IFERROR(VLOOKUP(G287,SKU_Cost_Input!$A$2:$E$15,4,FALSE),0)</f>
        <v>0</v>
      </c>
      <c r="J287" s="4">
        <f>IFERROR(VLOOKUP(G287,SKU_Cost_Input!$A$2:$E$15,2,FALSE),0)</f>
        <v>52</v>
      </c>
      <c r="K287" s="4">
        <f t="shared" si="8"/>
        <v>0</v>
      </c>
      <c r="L287" s="4">
        <f t="shared" si="9"/>
        <v>0</v>
      </c>
      <c r="M287" t="s">
        <v>85</v>
      </c>
    </row>
    <row r="288" spans="1:13" ht="16.05" customHeight="1">
      <c r="A288" t="s">
        <v>622</v>
      </c>
      <c r="B288" t="s">
        <v>621</v>
      </c>
      <c r="C288" t="s">
        <v>30</v>
      </c>
      <c r="D288" t="s">
        <v>624</v>
      </c>
      <c r="E288" t="s">
        <v>82</v>
      </c>
      <c r="F288" t="s">
        <v>84</v>
      </c>
      <c r="G288" t="s">
        <v>43</v>
      </c>
      <c r="H288" t="s">
        <v>54</v>
      </c>
      <c r="I288" s="4">
        <f>IFERROR(VLOOKUP(G288,SKU_Cost_Input!$A$2:$E$15,4,FALSE),0)</f>
        <v>0</v>
      </c>
      <c r="J288" s="4">
        <f>IFERROR(VLOOKUP(G288,SKU_Cost_Input!$A$2:$E$15,2,FALSE),0)</f>
        <v>50</v>
      </c>
      <c r="K288" s="4">
        <f t="shared" si="8"/>
        <v>0</v>
      </c>
      <c r="L288" s="4">
        <f t="shared" si="9"/>
        <v>0</v>
      </c>
      <c r="M288" t="s">
        <v>85</v>
      </c>
    </row>
    <row r="289" spans="1:13" ht="16.05" customHeight="1">
      <c r="A289" t="s">
        <v>628</v>
      </c>
      <c r="B289" t="s">
        <v>627</v>
      </c>
      <c r="C289" t="s">
        <v>30</v>
      </c>
      <c r="E289" t="s">
        <v>279</v>
      </c>
      <c r="F289" t="s">
        <v>84</v>
      </c>
      <c r="G289" t="s">
        <v>40</v>
      </c>
      <c r="H289" t="s">
        <v>51</v>
      </c>
      <c r="I289" s="4">
        <f>IFERROR(VLOOKUP(G289,SKU_Cost_Input!$A$2:$E$15,4,FALSE),0)</f>
        <v>0</v>
      </c>
      <c r="J289" s="4">
        <f>IFERROR(VLOOKUP(G289,SKU_Cost_Input!$A$2:$E$15,2,FALSE),0)</f>
        <v>130</v>
      </c>
      <c r="K289" s="4">
        <f t="shared" si="8"/>
        <v>0</v>
      </c>
      <c r="L289" s="4">
        <f t="shared" si="9"/>
        <v>0</v>
      </c>
      <c r="M289" t="s">
        <v>280</v>
      </c>
    </row>
    <row r="290" spans="1:13" ht="16.05" customHeight="1">
      <c r="A290" t="s">
        <v>628</v>
      </c>
      <c r="B290" t="s">
        <v>627</v>
      </c>
      <c r="C290" t="s">
        <v>30</v>
      </c>
      <c r="E290" t="s">
        <v>279</v>
      </c>
      <c r="F290" t="s">
        <v>84</v>
      </c>
      <c r="G290" t="s">
        <v>41</v>
      </c>
      <c r="H290" t="s">
        <v>53</v>
      </c>
      <c r="I290" s="4">
        <f>IFERROR(VLOOKUP(G290,SKU_Cost_Input!$A$2:$E$15,4,FALSE),0)</f>
        <v>0</v>
      </c>
      <c r="J290" s="4">
        <f>IFERROR(VLOOKUP(G290,SKU_Cost_Input!$A$2:$E$15,2,FALSE),0)</f>
        <v>100</v>
      </c>
      <c r="K290" s="4">
        <f t="shared" si="8"/>
        <v>0</v>
      </c>
      <c r="L290" s="4">
        <f t="shared" si="9"/>
        <v>0</v>
      </c>
      <c r="M290" t="s">
        <v>280</v>
      </c>
    </row>
    <row r="291" spans="1:13" ht="16.05" customHeight="1">
      <c r="A291" t="s">
        <v>630</v>
      </c>
      <c r="B291" t="s">
        <v>629</v>
      </c>
      <c r="C291" t="s">
        <v>30</v>
      </c>
      <c r="D291" t="s">
        <v>633</v>
      </c>
      <c r="E291" t="s">
        <v>82</v>
      </c>
      <c r="F291" t="s">
        <v>84</v>
      </c>
      <c r="G291" t="s">
        <v>40</v>
      </c>
      <c r="H291" t="s">
        <v>51</v>
      </c>
      <c r="I291" s="4">
        <f>IFERROR(VLOOKUP(G291,SKU_Cost_Input!$A$2:$E$15,4,FALSE),0)</f>
        <v>0</v>
      </c>
      <c r="J291" s="4">
        <f>IFERROR(VLOOKUP(G291,SKU_Cost_Input!$A$2:$E$15,2,FALSE),0)</f>
        <v>130</v>
      </c>
      <c r="K291" s="4">
        <f t="shared" si="8"/>
        <v>0</v>
      </c>
      <c r="L291" s="4">
        <f t="shared" si="9"/>
        <v>0</v>
      </c>
      <c r="M291" t="s">
        <v>85</v>
      </c>
    </row>
    <row r="292" spans="1:13" ht="16.05" customHeight="1">
      <c r="A292" t="s">
        <v>630</v>
      </c>
      <c r="B292" t="s">
        <v>629</v>
      </c>
      <c r="C292" t="s">
        <v>30</v>
      </c>
      <c r="D292" t="s">
        <v>633</v>
      </c>
      <c r="E292" t="s">
        <v>82</v>
      </c>
      <c r="F292" t="s">
        <v>84</v>
      </c>
      <c r="G292" t="s">
        <v>41</v>
      </c>
      <c r="H292" t="s">
        <v>53</v>
      </c>
      <c r="I292" s="4">
        <f>IFERROR(VLOOKUP(G292,SKU_Cost_Input!$A$2:$E$15,4,FALSE),0)</f>
        <v>0</v>
      </c>
      <c r="J292" s="4">
        <f>IFERROR(VLOOKUP(G292,SKU_Cost_Input!$A$2:$E$15,2,FALSE),0)</f>
        <v>100</v>
      </c>
      <c r="K292" s="4">
        <f t="shared" si="8"/>
        <v>0</v>
      </c>
      <c r="L292" s="4">
        <f t="shared" si="9"/>
        <v>0</v>
      </c>
      <c r="M292" t="s">
        <v>85</v>
      </c>
    </row>
    <row r="293" spans="1:13" ht="16.05" customHeight="1">
      <c r="A293" t="s">
        <v>636</v>
      </c>
      <c r="B293" t="s">
        <v>635</v>
      </c>
      <c r="C293" t="s">
        <v>30</v>
      </c>
      <c r="D293" t="s">
        <v>639</v>
      </c>
      <c r="E293" t="s">
        <v>82</v>
      </c>
      <c r="F293" t="s">
        <v>84</v>
      </c>
      <c r="G293" t="s">
        <v>40</v>
      </c>
      <c r="H293" t="s">
        <v>51</v>
      </c>
      <c r="I293" s="4">
        <f>IFERROR(VLOOKUP(G293,SKU_Cost_Input!$A$2:$E$15,4,FALSE),0)</f>
        <v>0</v>
      </c>
      <c r="J293" s="4">
        <f>IFERROR(VLOOKUP(G293,SKU_Cost_Input!$A$2:$E$15,2,FALSE),0)</f>
        <v>130</v>
      </c>
      <c r="K293" s="4">
        <f t="shared" si="8"/>
        <v>0</v>
      </c>
      <c r="L293" s="4">
        <f t="shared" si="9"/>
        <v>0</v>
      </c>
      <c r="M293" t="s">
        <v>85</v>
      </c>
    </row>
    <row r="294" spans="1:13" ht="16.05" customHeight="1">
      <c r="A294" t="s">
        <v>636</v>
      </c>
      <c r="B294" t="s">
        <v>635</v>
      </c>
      <c r="C294" t="s">
        <v>30</v>
      </c>
      <c r="D294" t="s">
        <v>639</v>
      </c>
      <c r="E294" t="s">
        <v>82</v>
      </c>
      <c r="F294" t="s">
        <v>84</v>
      </c>
      <c r="G294" t="s">
        <v>41</v>
      </c>
      <c r="H294" t="s">
        <v>53</v>
      </c>
      <c r="I294" s="4">
        <f>IFERROR(VLOOKUP(G294,SKU_Cost_Input!$A$2:$E$15,4,FALSE),0)</f>
        <v>0</v>
      </c>
      <c r="J294" s="4">
        <f>IFERROR(VLOOKUP(G294,SKU_Cost_Input!$A$2:$E$15,2,FALSE),0)</f>
        <v>100</v>
      </c>
      <c r="K294" s="4">
        <f t="shared" si="8"/>
        <v>0</v>
      </c>
      <c r="L294" s="4">
        <f t="shared" si="9"/>
        <v>0</v>
      </c>
      <c r="M294" t="s">
        <v>85</v>
      </c>
    </row>
    <row r="295" spans="1:13" ht="16.05" customHeight="1">
      <c r="A295" t="s">
        <v>642</v>
      </c>
      <c r="B295" t="s">
        <v>641</v>
      </c>
      <c r="C295" t="s">
        <v>30</v>
      </c>
      <c r="D295" t="s">
        <v>645</v>
      </c>
      <c r="E295" t="s">
        <v>82</v>
      </c>
      <c r="F295" t="s">
        <v>84</v>
      </c>
      <c r="G295" t="s">
        <v>40</v>
      </c>
      <c r="H295" t="s">
        <v>51</v>
      </c>
      <c r="I295" s="4">
        <f>IFERROR(VLOOKUP(G295,SKU_Cost_Input!$A$2:$E$15,4,FALSE),0)</f>
        <v>0</v>
      </c>
      <c r="J295" s="4">
        <f>IFERROR(VLOOKUP(G295,SKU_Cost_Input!$A$2:$E$15,2,FALSE),0)</f>
        <v>130</v>
      </c>
      <c r="K295" s="4">
        <f t="shared" si="8"/>
        <v>0</v>
      </c>
      <c r="L295" s="4">
        <f t="shared" si="9"/>
        <v>0</v>
      </c>
      <c r="M295" t="s">
        <v>85</v>
      </c>
    </row>
    <row r="296" spans="1:13" ht="16.05" customHeight="1">
      <c r="A296" t="s">
        <v>642</v>
      </c>
      <c r="B296" t="s">
        <v>641</v>
      </c>
      <c r="C296" t="s">
        <v>30</v>
      </c>
      <c r="D296" t="s">
        <v>645</v>
      </c>
      <c r="E296" t="s">
        <v>82</v>
      </c>
      <c r="F296" t="s">
        <v>84</v>
      </c>
      <c r="G296" t="s">
        <v>45</v>
      </c>
      <c r="H296" t="s">
        <v>53</v>
      </c>
      <c r="I296" s="4">
        <f>IFERROR(VLOOKUP(G296,SKU_Cost_Input!$A$2:$E$15,4,FALSE),0)</f>
        <v>0</v>
      </c>
      <c r="J296" s="4">
        <f>IFERROR(VLOOKUP(G296,SKU_Cost_Input!$A$2:$E$15,2,FALSE),0)</f>
        <v>14</v>
      </c>
      <c r="K296" s="4">
        <f t="shared" si="8"/>
        <v>0</v>
      </c>
      <c r="L296" s="4">
        <f t="shared" si="9"/>
        <v>0</v>
      </c>
      <c r="M296" t="s">
        <v>85</v>
      </c>
    </row>
    <row r="297" spans="1:13" ht="16.05" customHeight="1">
      <c r="A297" t="s">
        <v>649</v>
      </c>
      <c r="B297" t="s">
        <v>648</v>
      </c>
      <c r="C297" t="s">
        <v>30</v>
      </c>
      <c r="D297" t="s">
        <v>651</v>
      </c>
      <c r="E297" t="s">
        <v>82</v>
      </c>
      <c r="F297" t="s">
        <v>84</v>
      </c>
      <c r="G297" t="s">
        <v>40</v>
      </c>
      <c r="H297" t="s">
        <v>51</v>
      </c>
      <c r="I297" s="4">
        <f>IFERROR(VLOOKUP(G297,SKU_Cost_Input!$A$2:$E$15,4,FALSE),0)</f>
        <v>0</v>
      </c>
      <c r="J297" s="4">
        <f>IFERROR(VLOOKUP(G297,SKU_Cost_Input!$A$2:$E$15,2,FALSE),0)</f>
        <v>130</v>
      </c>
      <c r="K297" s="4">
        <f t="shared" si="8"/>
        <v>0</v>
      </c>
      <c r="L297" s="4">
        <f t="shared" si="9"/>
        <v>0</v>
      </c>
      <c r="M297" t="s">
        <v>85</v>
      </c>
    </row>
    <row r="298" spans="1:13" ht="16.05" customHeight="1">
      <c r="A298" t="s">
        <v>649</v>
      </c>
      <c r="B298" t="s">
        <v>648</v>
      </c>
      <c r="C298" t="s">
        <v>30</v>
      </c>
      <c r="D298" t="s">
        <v>651</v>
      </c>
      <c r="E298" t="s">
        <v>82</v>
      </c>
      <c r="F298" t="s">
        <v>84</v>
      </c>
      <c r="G298" t="s">
        <v>41</v>
      </c>
      <c r="H298" t="s">
        <v>53</v>
      </c>
      <c r="I298" s="4">
        <f>IFERROR(VLOOKUP(G298,SKU_Cost_Input!$A$2:$E$15,4,FALSE),0)</f>
        <v>0</v>
      </c>
      <c r="J298" s="4">
        <f>IFERROR(VLOOKUP(G298,SKU_Cost_Input!$A$2:$E$15,2,FALSE),0)</f>
        <v>100</v>
      </c>
      <c r="K298" s="4">
        <f t="shared" si="8"/>
        <v>0</v>
      </c>
      <c r="L298" s="4">
        <f t="shared" si="9"/>
        <v>0</v>
      </c>
      <c r="M298" t="s">
        <v>85</v>
      </c>
    </row>
    <row r="299" spans="1:13" ht="16.05" customHeight="1">
      <c r="A299" t="s">
        <v>655</v>
      </c>
      <c r="B299" t="s">
        <v>654</v>
      </c>
      <c r="C299" t="s">
        <v>30</v>
      </c>
      <c r="D299" t="s">
        <v>658</v>
      </c>
      <c r="E299" t="s">
        <v>82</v>
      </c>
      <c r="F299" t="s">
        <v>84</v>
      </c>
      <c r="G299" t="s">
        <v>40</v>
      </c>
      <c r="H299" t="s">
        <v>51</v>
      </c>
      <c r="I299" s="4">
        <f>IFERROR(VLOOKUP(G299,SKU_Cost_Input!$A$2:$E$15,4,FALSE),0)</f>
        <v>0</v>
      </c>
      <c r="J299" s="4">
        <f>IFERROR(VLOOKUP(G299,SKU_Cost_Input!$A$2:$E$15,2,FALSE),0)</f>
        <v>130</v>
      </c>
      <c r="K299" s="4">
        <f t="shared" si="8"/>
        <v>0</v>
      </c>
      <c r="L299" s="4">
        <f t="shared" si="9"/>
        <v>0</v>
      </c>
      <c r="M299" t="s">
        <v>85</v>
      </c>
    </row>
    <row r="300" spans="1:13" ht="16.05" customHeight="1">
      <c r="A300" t="s">
        <v>655</v>
      </c>
      <c r="B300" t="s">
        <v>654</v>
      </c>
      <c r="C300" t="s">
        <v>30</v>
      </c>
      <c r="D300" t="s">
        <v>658</v>
      </c>
      <c r="E300" t="s">
        <v>82</v>
      </c>
      <c r="F300" t="s">
        <v>84</v>
      </c>
      <c r="G300" t="s">
        <v>41</v>
      </c>
      <c r="H300" t="s">
        <v>53</v>
      </c>
      <c r="I300" s="4">
        <f>IFERROR(VLOOKUP(G300,SKU_Cost_Input!$A$2:$E$15,4,FALSE),0)</f>
        <v>0</v>
      </c>
      <c r="J300" s="4">
        <f>IFERROR(VLOOKUP(G300,SKU_Cost_Input!$A$2:$E$15,2,FALSE),0)</f>
        <v>100</v>
      </c>
      <c r="K300" s="4">
        <f t="shared" si="8"/>
        <v>0</v>
      </c>
      <c r="L300" s="4">
        <f t="shared" si="9"/>
        <v>0</v>
      </c>
      <c r="M300" t="s">
        <v>85</v>
      </c>
    </row>
    <row r="301" spans="1:13" ht="16.05" customHeight="1">
      <c r="A301" t="s">
        <v>660</v>
      </c>
      <c r="B301" t="s">
        <v>659</v>
      </c>
      <c r="C301" t="s">
        <v>30</v>
      </c>
      <c r="D301" t="s">
        <v>663</v>
      </c>
      <c r="E301" t="s">
        <v>82</v>
      </c>
      <c r="F301" t="s">
        <v>84</v>
      </c>
      <c r="G301" t="s">
        <v>40</v>
      </c>
      <c r="H301" t="s">
        <v>51</v>
      </c>
      <c r="I301" s="4">
        <f>IFERROR(VLOOKUP(G301,SKU_Cost_Input!$A$2:$E$15,4,FALSE),0)</f>
        <v>0</v>
      </c>
      <c r="J301" s="4">
        <f>IFERROR(VLOOKUP(G301,SKU_Cost_Input!$A$2:$E$15,2,FALSE),0)</f>
        <v>130</v>
      </c>
      <c r="K301" s="4">
        <f t="shared" si="8"/>
        <v>0</v>
      </c>
      <c r="L301" s="4">
        <f t="shared" si="9"/>
        <v>0</v>
      </c>
      <c r="M301" t="s">
        <v>85</v>
      </c>
    </row>
    <row r="302" spans="1:13" ht="16.05" customHeight="1">
      <c r="A302" t="s">
        <v>660</v>
      </c>
      <c r="B302" t="s">
        <v>659</v>
      </c>
      <c r="C302" t="s">
        <v>30</v>
      </c>
      <c r="D302" t="s">
        <v>663</v>
      </c>
      <c r="E302" t="s">
        <v>82</v>
      </c>
      <c r="F302" t="s">
        <v>84</v>
      </c>
      <c r="G302" t="s">
        <v>43</v>
      </c>
      <c r="H302" t="s">
        <v>54</v>
      </c>
      <c r="I302" s="4">
        <f>IFERROR(VLOOKUP(G302,SKU_Cost_Input!$A$2:$E$15,4,FALSE),0)</f>
        <v>0</v>
      </c>
      <c r="J302" s="4">
        <f>IFERROR(VLOOKUP(G302,SKU_Cost_Input!$A$2:$E$15,2,FALSE),0)</f>
        <v>50</v>
      </c>
      <c r="K302" s="4">
        <f t="shared" si="8"/>
        <v>0</v>
      </c>
      <c r="L302" s="4">
        <f t="shared" si="9"/>
        <v>0</v>
      </c>
      <c r="M302" t="s">
        <v>85</v>
      </c>
    </row>
    <row r="303" spans="1:13" ht="16.05" customHeight="1">
      <c r="A303" t="s">
        <v>660</v>
      </c>
      <c r="B303" t="s">
        <v>659</v>
      </c>
      <c r="C303" t="s">
        <v>30</v>
      </c>
      <c r="D303" t="s">
        <v>663</v>
      </c>
      <c r="E303" t="s">
        <v>82</v>
      </c>
      <c r="F303" t="s">
        <v>84</v>
      </c>
      <c r="G303" t="s">
        <v>45</v>
      </c>
      <c r="H303" t="s">
        <v>53</v>
      </c>
      <c r="I303" s="4">
        <f>IFERROR(VLOOKUP(G303,SKU_Cost_Input!$A$2:$E$15,4,FALSE),0)</f>
        <v>0</v>
      </c>
      <c r="J303" s="4">
        <f>IFERROR(VLOOKUP(G303,SKU_Cost_Input!$A$2:$E$15,2,FALSE),0)</f>
        <v>14</v>
      </c>
      <c r="K303" s="4">
        <f t="shared" si="8"/>
        <v>0</v>
      </c>
      <c r="L303" s="4">
        <f t="shared" si="9"/>
        <v>0</v>
      </c>
      <c r="M303" t="s">
        <v>85</v>
      </c>
    </row>
    <row r="304" spans="1:13" ht="16.05" customHeight="1">
      <c r="A304" t="s">
        <v>660</v>
      </c>
      <c r="B304" t="s">
        <v>659</v>
      </c>
      <c r="C304" t="s">
        <v>30</v>
      </c>
      <c r="D304" t="s">
        <v>663</v>
      </c>
      <c r="E304" t="s">
        <v>82</v>
      </c>
      <c r="F304" t="s">
        <v>84</v>
      </c>
      <c r="G304" t="s">
        <v>42</v>
      </c>
      <c r="H304" t="s">
        <v>54</v>
      </c>
      <c r="I304" s="4">
        <f>IFERROR(VLOOKUP(G304,SKU_Cost_Input!$A$2:$E$15,4,FALSE),0)</f>
        <v>0</v>
      </c>
      <c r="J304" s="4">
        <f>IFERROR(VLOOKUP(G304,SKU_Cost_Input!$A$2:$E$15,2,FALSE),0)</f>
        <v>52</v>
      </c>
      <c r="K304" s="4">
        <f t="shared" si="8"/>
        <v>0</v>
      </c>
      <c r="L304" s="4">
        <f t="shared" si="9"/>
        <v>0</v>
      </c>
      <c r="M304" t="s">
        <v>85</v>
      </c>
    </row>
    <row r="305" spans="1:13" ht="16.05" customHeight="1">
      <c r="A305" t="s">
        <v>667</v>
      </c>
      <c r="B305" t="s">
        <v>666</v>
      </c>
      <c r="C305" t="s">
        <v>30</v>
      </c>
      <c r="D305" t="s">
        <v>663</v>
      </c>
      <c r="E305" t="s">
        <v>82</v>
      </c>
      <c r="F305" t="s">
        <v>84</v>
      </c>
      <c r="G305" t="s">
        <v>41</v>
      </c>
      <c r="H305" t="s">
        <v>53</v>
      </c>
      <c r="I305" s="4">
        <f>IFERROR(VLOOKUP(G305,SKU_Cost_Input!$A$2:$E$15,4,FALSE),0)</f>
        <v>0</v>
      </c>
      <c r="J305" s="4">
        <f>IFERROR(VLOOKUP(G305,SKU_Cost_Input!$A$2:$E$15,2,FALSE),0)</f>
        <v>100</v>
      </c>
      <c r="K305" s="4">
        <f t="shared" si="8"/>
        <v>0</v>
      </c>
      <c r="L305" s="4">
        <f t="shared" si="9"/>
        <v>0</v>
      </c>
      <c r="M305" t="s">
        <v>126</v>
      </c>
    </row>
    <row r="306" spans="1:13" ht="16.05" customHeight="1">
      <c r="A306" t="s">
        <v>669</v>
      </c>
      <c r="B306" t="s">
        <v>668</v>
      </c>
      <c r="C306" t="s">
        <v>30</v>
      </c>
      <c r="E306" t="s">
        <v>279</v>
      </c>
      <c r="F306" t="s">
        <v>84</v>
      </c>
      <c r="G306" t="s">
        <v>42</v>
      </c>
      <c r="H306" t="s">
        <v>54</v>
      </c>
      <c r="I306" s="4">
        <f>IFERROR(VLOOKUP(G306,SKU_Cost_Input!$A$2:$E$15,4,FALSE),0)</f>
        <v>0</v>
      </c>
      <c r="J306" s="4">
        <f>IFERROR(VLOOKUP(G306,SKU_Cost_Input!$A$2:$E$15,2,FALSE),0)</f>
        <v>52</v>
      </c>
      <c r="K306" s="4">
        <f t="shared" si="8"/>
        <v>0</v>
      </c>
      <c r="L306" s="4">
        <f t="shared" si="9"/>
        <v>0</v>
      </c>
      <c r="M306" t="s">
        <v>280</v>
      </c>
    </row>
    <row r="307" spans="1:13" ht="16.05" customHeight="1">
      <c r="A307" t="s">
        <v>669</v>
      </c>
      <c r="B307" t="s">
        <v>668</v>
      </c>
      <c r="C307" t="s">
        <v>30</v>
      </c>
      <c r="E307" t="s">
        <v>279</v>
      </c>
      <c r="F307" t="s">
        <v>84</v>
      </c>
      <c r="G307" t="s">
        <v>58</v>
      </c>
      <c r="H307" t="s">
        <v>53</v>
      </c>
      <c r="I307" s="4">
        <f>IFERROR(VLOOKUP(G307,SKU_Cost_Input!$A$2:$E$15,4,FALSE),0)</f>
        <v>0</v>
      </c>
      <c r="J307" s="4">
        <f>IFERROR(VLOOKUP(G307,SKU_Cost_Input!$A$2:$E$15,2,FALSE),0)</f>
        <v>6</v>
      </c>
      <c r="K307" s="4">
        <f t="shared" si="8"/>
        <v>0</v>
      </c>
      <c r="L307" s="4">
        <f t="shared" si="9"/>
        <v>0</v>
      </c>
      <c r="M307" t="s">
        <v>280</v>
      </c>
    </row>
    <row r="308" spans="1:13" ht="16.05" customHeight="1">
      <c r="A308" t="s">
        <v>669</v>
      </c>
      <c r="B308" t="s">
        <v>668</v>
      </c>
      <c r="C308" t="s">
        <v>30</v>
      </c>
      <c r="E308" t="s">
        <v>279</v>
      </c>
      <c r="F308" t="s">
        <v>84</v>
      </c>
      <c r="G308" t="s">
        <v>60</v>
      </c>
      <c r="H308" t="s">
        <v>53</v>
      </c>
      <c r="I308" s="4">
        <f>IFERROR(VLOOKUP(G308,SKU_Cost_Input!$A$2:$E$15,4,FALSE),0)</f>
        <v>0</v>
      </c>
      <c r="J308" s="4">
        <f>IFERROR(VLOOKUP(G308,SKU_Cost_Input!$A$2:$E$15,2,FALSE),0)</f>
        <v>4</v>
      </c>
      <c r="K308" s="4">
        <f t="shared" si="8"/>
        <v>0</v>
      </c>
      <c r="L308" s="4">
        <f t="shared" si="9"/>
        <v>0</v>
      </c>
      <c r="M308" t="s">
        <v>280</v>
      </c>
    </row>
    <row r="309" spans="1:13" ht="16.05" customHeight="1">
      <c r="A309" t="s">
        <v>672</v>
      </c>
      <c r="B309" t="s">
        <v>671</v>
      </c>
      <c r="C309" t="s">
        <v>30</v>
      </c>
      <c r="E309" t="s">
        <v>279</v>
      </c>
      <c r="F309" t="s">
        <v>84</v>
      </c>
      <c r="G309" t="s">
        <v>60</v>
      </c>
      <c r="H309" t="s">
        <v>53</v>
      </c>
      <c r="I309" s="4">
        <f>IFERROR(VLOOKUP(G309,SKU_Cost_Input!$A$2:$E$15,4,FALSE),0)</f>
        <v>0</v>
      </c>
      <c r="J309" s="4">
        <f>IFERROR(VLOOKUP(G309,SKU_Cost_Input!$A$2:$E$15,2,FALSE),0)</f>
        <v>4</v>
      </c>
      <c r="K309" s="4">
        <f t="shared" si="8"/>
        <v>0</v>
      </c>
      <c r="L309" s="4">
        <f t="shared" si="9"/>
        <v>0</v>
      </c>
      <c r="M309" t="s">
        <v>280</v>
      </c>
    </row>
    <row r="310" spans="1:13" ht="16.05" customHeight="1">
      <c r="A310" t="s">
        <v>674</v>
      </c>
      <c r="B310" t="s">
        <v>673</v>
      </c>
      <c r="C310" t="s">
        <v>30</v>
      </c>
      <c r="D310" t="s">
        <v>677</v>
      </c>
      <c r="E310" t="s">
        <v>82</v>
      </c>
      <c r="F310" t="s">
        <v>84</v>
      </c>
      <c r="G310" t="s">
        <v>40</v>
      </c>
      <c r="H310" t="s">
        <v>51</v>
      </c>
      <c r="I310" s="4">
        <f>IFERROR(VLOOKUP(G310,SKU_Cost_Input!$A$2:$E$15,4,FALSE),0)</f>
        <v>0</v>
      </c>
      <c r="J310" s="4">
        <f>IFERROR(VLOOKUP(G310,SKU_Cost_Input!$A$2:$E$15,2,FALSE),0)</f>
        <v>130</v>
      </c>
      <c r="K310" s="4">
        <f t="shared" si="8"/>
        <v>0</v>
      </c>
      <c r="L310" s="4">
        <f t="shared" si="9"/>
        <v>0</v>
      </c>
      <c r="M310" t="s">
        <v>85</v>
      </c>
    </row>
    <row r="311" spans="1:13" ht="16.05" customHeight="1">
      <c r="A311" t="s">
        <v>674</v>
      </c>
      <c r="B311" t="s">
        <v>673</v>
      </c>
      <c r="C311" t="s">
        <v>30</v>
      </c>
      <c r="D311" t="s">
        <v>677</v>
      </c>
      <c r="E311" t="s">
        <v>82</v>
      </c>
      <c r="F311" t="s">
        <v>84</v>
      </c>
      <c r="G311" t="s">
        <v>41</v>
      </c>
      <c r="H311" t="s">
        <v>53</v>
      </c>
      <c r="I311" s="4">
        <f>IFERROR(VLOOKUP(G311,SKU_Cost_Input!$A$2:$E$15,4,FALSE),0)</f>
        <v>0</v>
      </c>
      <c r="J311" s="4">
        <f>IFERROR(VLOOKUP(G311,SKU_Cost_Input!$A$2:$E$15,2,FALSE),0)</f>
        <v>100</v>
      </c>
      <c r="K311" s="4">
        <f t="shared" si="8"/>
        <v>0</v>
      </c>
      <c r="L311" s="4">
        <f t="shared" si="9"/>
        <v>0</v>
      </c>
      <c r="M311" t="s">
        <v>85</v>
      </c>
    </row>
    <row r="312" spans="1:13" ht="16.05" customHeight="1">
      <c r="A312" t="s">
        <v>681</v>
      </c>
      <c r="B312" t="s">
        <v>680</v>
      </c>
      <c r="C312" t="s">
        <v>30</v>
      </c>
      <c r="D312" t="s">
        <v>682</v>
      </c>
      <c r="E312" t="s">
        <v>82</v>
      </c>
      <c r="F312" t="s">
        <v>84</v>
      </c>
      <c r="G312" t="s">
        <v>44</v>
      </c>
      <c r="H312" t="s">
        <v>53</v>
      </c>
      <c r="I312" s="4">
        <f>IFERROR(VLOOKUP(G312,SKU_Cost_Input!$A$2:$E$15,4,FALSE),0)</f>
        <v>0</v>
      </c>
      <c r="J312" s="4">
        <f>IFERROR(VLOOKUP(G312,SKU_Cost_Input!$A$2:$E$15,2,FALSE),0)</f>
        <v>21</v>
      </c>
      <c r="K312" s="4">
        <f t="shared" si="8"/>
        <v>0</v>
      </c>
      <c r="L312" s="4">
        <f t="shared" si="9"/>
        <v>0</v>
      </c>
      <c r="M312" t="s">
        <v>85</v>
      </c>
    </row>
    <row r="313" spans="1:13" ht="16.05" customHeight="1">
      <c r="A313" t="s">
        <v>681</v>
      </c>
      <c r="B313" t="s">
        <v>680</v>
      </c>
      <c r="C313" t="s">
        <v>30</v>
      </c>
      <c r="D313" t="s">
        <v>682</v>
      </c>
      <c r="E313" t="s">
        <v>82</v>
      </c>
      <c r="F313" t="s">
        <v>84</v>
      </c>
      <c r="G313" t="s">
        <v>40</v>
      </c>
      <c r="H313" t="s">
        <v>51</v>
      </c>
      <c r="I313" s="4">
        <f>IFERROR(VLOOKUP(G313,SKU_Cost_Input!$A$2:$E$15,4,FALSE),0)</f>
        <v>0</v>
      </c>
      <c r="J313" s="4">
        <f>IFERROR(VLOOKUP(G313,SKU_Cost_Input!$A$2:$E$15,2,FALSE),0)</f>
        <v>130</v>
      </c>
      <c r="K313" s="4">
        <f t="shared" si="8"/>
        <v>0</v>
      </c>
      <c r="L313" s="4">
        <f t="shared" si="9"/>
        <v>0</v>
      </c>
      <c r="M313" t="s">
        <v>85</v>
      </c>
    </row>
    <row r="314" spans="1:13" ht="16.05" customHeight="1">
      <c r="A314" t="s">
        <v>681</v>
      </c>
      <c r="B314" t="s">
        <v>680</v>
      </c>
      <c r="C314" t="s">
        <v>30</v>
      </c>
      <c r="D314" t="s">
        <v>682</v>
      </c>
      <c r="E314" t="s">
        <v>82</v>
      </c>
      <c r="F314" t="s">
        <v>84</v>
      </c>
      <c r="G314" t="s">
        <v>42</v>
      </c>
      <c r="H314" t="s">
        <v>54</v>
      </c>
      <c r="I314" s="4">
        <f>IFERROR(VLOOKUP(G314,SKU_Cost_Input!$A$2:$E$15,4,FALSE),0)</f>
        <v>0</v>
      </c>
      <c r="J314" s="4">
        <f>IFERROR(VLOOKUP(G314,SKU_Cost_Input!$A$2:$E$15,2,FALSE),0)</f>
        <v>52</v>
      </c>
      <c r="K314" s="4">
        <f t="shared" si="8"/>
        <v>0</v>
      </c>
      <c r="L314" s="4">
        <f t="shared" si="9"/>
        <v>0</v>
      </c>
      <c r="M314" t="s">
        <v>85</v>
      </c>
    </row>
    <row r="315" spans="1:13" ht="16.05" customHeight="1">
      <c r="A315" t="s">
        <v>681</v>
      </c>
      <c r="B315" t="s">
        <v>680</v>
      </c>
      <c r="C315" t="s">
        <v>30</v>
      </c>
      <c r="D315" t="s">
        <v>682</v>
      </c>
      <c r="E315" t="s">
        <v>82</v>
      </c>
      <c r="F315" t="s">
        <v>84</v>
      </c>
      <c r="G315" t="s">
        <v>43</v>
      </c>
      <c r="H315" t="s">
        <v>54</v>
      </c>
      <c r="I315" s="4">
        <f>IFERROR(VLOOKUP(G315,SKU_Cost_Input!$A$2:$E$15,4,FALSE),0)</f>
        <v>0</v>
      </c>
      <c r="J315" s="4">
        <f>IFERROR(VLOOKUP(G315,SKU_Cost_Input!$A$2:$E$15,2,FALSE),0)</f>
        <v>50</v>
      </c>
      <c r="K315" s="4">
        <f t="shared" si="8"/>
        <v>0</v>
      </c>
      <c r="L315" s="4">
        <f t="shared" si="9"/>
        <v>0</v>
      </c>
      <c r="M315" t="s">
        <v>85</v>
      </c>
    </row>
    <row r="316" spans="1:13" ht="16.05" customHeight="1">
      <c r="A316" t="s">
        <v>685</v>
      </c>
      <c r="B316" t="s">
        <v>684</v>
      </c>
      <c r="C316" t="s">
        <v>30</v>
      </c>
      <c r="E316" t="s">
        <v>279</v>
      </c>
      <c r="F316" t="s">
        <v>84</v>
      </c>
      <c r="G316" t="s">
        <v>40</v>
      </c>
      <c r="H316" t="s">
        <v>51</v>
      </c>
      <c r="I316" s="4">
        <f>IFERROR(VLOOKUP(G316,SKU_Cost_Input!$A$2:$E$15,4,FALSE),0)</f>
        <v>0</v>
      </c>
      <c r="J316" s="4">
        <f>IFERROR(VLOOKUP(G316,SKU_Cost_Input!$A$2:$E$15,2,FALSE),0)</f>
        <v>130</v>
      </c>
      <c r="K316" s="4">
        <f t="shared" si="8"/>
        <v>0</v>
      </c>
      <c r="L316" s="4">
        <f t="shared" si="9"/>
        <v>0</v>
      </c>
      <c r="M316" t="s">
        <v>280</v>
      </c>
    </row>
    <row r="317" spans="1:13" ht="16.05" customHeight="1">
      <c r="A317" t="s">
        <v>685</v>
      </c>
      <c r="B317" t="s">
        <v>684</v>
      </c>
      <c r="C317" t="s">
        <v>30</v>
      </c>
      <c r="E317" t="s">
        <v>279</v>
      </c>
      <c r="F317" t="s">
        <v>84</v>
      </c>
      <c r="G317" t="s">
        <v>45</v>
      </c>
      <c r="H317" t="s">
        <v>53</v>
      </c>
      <c r="I317" s="4">
        <f>IFERROR(VLOOKUP(G317,SKU_Cost_Input!$A$2:$E$15,4,FALSE),0)</f>
        <v>0</v>
      </c>
      <c r="J317" s="4">
        <f>IFERROR(VLOOKUP(G317,SKU_Cost_Input!$A$2:$E$15,2,FALSE),0)</f>
        <v>14</v>
      </c>
      <c r="K317" s="4">
        <f t="shared" si="8"/>
        <v>0</v>
      </c>
      <c r="L317" s="4">
        <f t="shared" si="9"/>
        <v>0</v>
      </c>
      <c r="M317" t="s">
        <v>280</v>
      </c>
    </row>
    <row r="318" spans="1:13" ht="16.05" customHeight="1">
      <c r="A318" t="s">
        <v>687</v>
      </c>
      <c r="B318" t="s">
        <v>686</v>
      </c>
      <c r="C318" t="s">
        <v>30</v>
      </c>
      <c r="D318" t="s">
        <v>690</v>
      </c>
      <c r="E318" t="s">
        <v>82</v>
      </c>
      <c r="F318" t="s">
        <v>84</v>
      </c>
      <c r="G318" t="s">
        <v>40</v>
      </c>
      <c r="H318" t="s">
        <v>51</v>
      </c>
      <c r="I318" s="4">
        <f>IFERROR(VLOOKUP(G318,SKU_Cost_Input!$A$2:$E$15,4,FALSE),0)</f>
        <v>0</v>
      </c>
      <c r="J318" s="4">
        <f>IFERROR(VLOOKUP(G318,SKU_Cost_Input!$A$2:$E$15,2,FALSE),0)</f>
        <v>130</v>
      </c>
      <c r="K318" s="4">
        <f t="shared" si="8"/>
        <v>0</v>
      </c>
      <c r="L318" s="4">
        <f t="shared" si="9"/>
        <v>0</v>
      </c>
      <c r="M318" t="s">
        <v>85</v>
      </c>
    </row>
    <row r="319" spans="1:13" ht="16.05" customHeight="1">
      <c r="A319" t="s">
        <v>687</v>
      </c>
      <c r="B319" t="s">
        <v>686</v>
      </c>
      <c r="C319" t="s">
        <v>30</v>
      </c>
      <c r="D319" t="s">
        <v>690</v>
      </c>
      <c r="E319" t="s">
        <v>82</v>
      </c>
      <c r="F319" t="s">
        <v>84</v>
      </c>
      <c r="G319" t="s">
        <v>43</v>
      </c>
      <c r="H319" t="s">
        <v>54</v>
      </c>
      <c r="I319" s="4">
        <f>IFERROR(VLOOKUP(G319,SKU_Cost_Input!$A$2:$E$15,4,FALSE),0)</f>
        <v>0</v>
      </c>
      <c r="J319" s="4">
        <f>IFERROR(VLOOKUP(G319,SKU_Cost_Input!$A$2:$E$15,2,FALSE),0)</f>
        <v>50</v>
      </c>
      <c r="K319" s="4">
        <f t="shared" si="8"/>
        <v>0</v>
      </c>
      <c r="L319" s="4">
        <f t="shared" si="9"/>
        <v>0</v>
      </c>
      <c r="M319" t="s">
        <v>85</v>
      </c>
    </row>
    <row r="320" spans="1:13" ht="16.05" customHeight="1">
      <c r="A320" t="s">
        <v>687</v>
      </c>
      <c r="B320" t="s">
        <v>686</v>
      </c>
      <c r="C320" t="s">
        <v>30</v>
      </c>
      <c r="D320" t="s">
        <v>690</v>
      </c>
      <c r="E320" t="s">
        <v>82</v>
      </c>
      <c r="F320" t="s">
        <v>84</v>
      </c>
      <c r="G320" t="s">
        <v>41</v>
      </c>
      <c r="H320" t="s">
        <v>53</v>
      </c>
      <c r="I320" s="4">
        <f>IFERROR(VLOOKUP(G320,SKU_Cost_Input!$A$2:$E$15,4,FALSE),0)</f>
        <v>0</v>
      </c>
      <c r="J320" s="4">
        <f>IFERROR(VLOOKUP(G320,SKU_Cost_Input!$A$2:$E$15,2,FALSE),0)</f>
        <v>100</v>
      </c>
      <c r="K320" s="4">
        <f t="shared" si="8"/>
        <v>0</v>
      </c>
      <c r="L320" s="4">
        <f t="shared" si="9"/>
        <v>0</v>
      </c>
      <c r="M320" t="s">
        <v>85</v>
      </c>
    </row>
    <row r="321" spans="1:13" ht="16.05" customHeight="1">
      <c r="A321" t="s">
        <v>687</v>
      </c>
      <c r="B321" t="s">
        <v>686</v>
      </c>
      <c r="C321" t="s">
        <v>30</v>
      </c>
      <c r="D321" t="s">
        <v>690</v>
      </c>
      <c r="E321" t="s">
        <v>82</v>
      </c>
      <c r="F321" t="s">
        <v>84</v>
      </c>
      <c r="G321" t="s">
        <v>42</v>
      </c>
      <c r="H321" t="s">
        <v>54</v>
      </c>
      <c r="I321" s="4">
        <f>IFERROR(VLOOKUP(G321,SKU_Cost_Input!$A$2:$E$15,4,FALSE),0)</f>
        <v>0</v>
      </c>
      <c r="J321" s="4">
        <f>IFERROR(VLOOKUP(G321,SKU_Cost_Input!$A$2:$E$15,2,FALSE),0)</f>
        <v>52</v>
      </c>
      <c r="K321" s="4">
        <f t="shared" si="8"/>
        <v>0</v>
      </c>
      <c r="L321" s="4">
        <f t="shared" si="9"/>
        <v>0</v>
      </c>
      <c r="M321" t="s">
        <v>85</v>
      </c>
    </row>
    <row r="322" spans="1:13" ht="16.05" customHeight="1">
      <c r="A322" t="s">
        <v>693</v>
      </c>
      <c r="B322" t="s">
        <v>692</v>
      </c>
      <c r="C322" t="s">
        <v>30</v>
      </c>
      <c r="D322" t="s">
        <v>695</v>
      </c>
      <c r="E322" t="s">
        <v>82</v>
      </c>
      <c r="F322" t="s">
        <v>84</v>
      </c>
      <c r="G322" t="s">
        <v>40</v>
      </c>
      <c r="H322" t="s">
        <v>51</v>
      </c>
      <c r="I322" s="4">
        <f>IFERROR(VLOOKUP(G322,SKU_Cost_Input!$A$2:$E$15,4,FALSE),0)</f>
        <v>0</v>
      </c>
      <c r="J322" s="4">
        <f>IFERROR(VLOOKUP(G322,SKU_Cost_Input!$A$2:$E$15,2,FALSE),0)</f>
        <v>130</v>
      </c>
      <c r="K322" s="4">
        <f t="shared" ref="K322:K385" si="10">IF(J322=0,0,I322/J322)</f>
        <v>0</v>
      </c>
      <c r="L322" s="4">
        <f t="shared" ref="L322:L385" si="11">K322</f>
        <v>0</v>
      </c>
      <c r="M322" t="s">
        <v>85</v>
      </c>
    </row>
    <row r="323" spans="1:13" ht="16.05" customHeight="1">
      <c r="A323" t="s">
        <v>693</v>
      </c>
      <c r="B323" t="s">
        <v>692</v>
      </c>
      <c r="C323" t="s">
        <v>30</v>
      </c>
      <c r="D323" t="s">
        <v>695</v>
      </c>
      <c r="E323" t="s">
        <v>82</v>
      </c>
      <c r="F323" t="s">
        <v>84</v>
      </c>
      <c r="G323" t="s">
        <v>41</v>
      </c>
      <c r="H323" t="s">
        <v>53</v>
      </c>
      <c r="I323" s="4">
        <f>IFERROR(VLOOKUP(G323,SKU_Cost_Input!$A$2:$E$15,4,FALSE),0)</f>
        <v>0</v>
      </c>
      <c r="J323" s="4">
        <f>IFERROR(VLOOKUP(G323,SKU_Cost_Input!$A$2:$E$15,2,FALSE),0)</f>
        <v>100</v>
      </c>
      <c r="K323" s="4">
        <f t="shared" si="10"/>
        <v>0</v>
      </c>
      <c r="L323" s="4">
        <f t="shared" si="11"/>
        <v>0</v>
      </c>
      <c r="M323" t="s">
        <v>85</v>
      </c>
    </row>
    <row r="324" spans="1:13" ht="16.05" customHeight="1">
      <c r="A324" t="s">
        <v>698</v>
      </c>
      <c r="B324" t="s">
        <v>697</v>
      </c>
      <c r="C324" t="s">
        <v>30</v>
      </c>
      <c r="D324" t="s">
        <v>701</v>
      </c>
      <c r="E324" t="s">
        <v>82</v>
      </c>
      <c r="F324" t="s">
        <v>84</v>
      </c>
      <c r="G324" t="s">
        <v>40</v>
      </c>
      <c r="H324" t="s">
        <v>51</v>
      </c>
      <c r="I324" s="4">
        <f>IFERROR(VLOOKUP(G324,SKU_Cost_Input!$A$2:$E$15,4,FALSE),0)</f>
        <v>0</v>
      </c>
      <c r="J324" s="4">
        <f>IFERROR(VLOOKUP(G324,SKU_Cost_Input!$A$2:$E$15,2,FALSE),0)</f>
        <v>130</v>
      </c>
      <c r="K324" s="4">
        <f t="shared" si="10"/>
        <v>0</v>
      </c>
      <c r="L324" s="4">
        <f t="shared" si="11"/>
        <v>0</v>
      </c>
      <c r="M324" t="s">
        <v>85</v>
      </c>
    </row>
    <row r="325" spans="1:13" ht="16.05" customHeight="1">
      <c r="A325" t="s">
        <v>698</v>
      </c>
      <c r="B325" t="s">
        <v>697</v>
      </c>
      <c r="C325" t="s">
        <v>30</v>
      </c>
      <c r="D325" t="s">
        <v>701</v>
      </c>
      <c r="E325" t="s">
        <v>82</v>
      </c>
      <c r="F325" t="s">
        <v>84</v>
      </c>
      <c r="G325" t="s">
        <v>41</v>
      </c>
      <c r="H325" t="s">
        <v>53</v>
      </c>
      <c r="I325" s="4">
        <f>IFERROR(VLOOKUP(G325,SKU_Cost_Input!$A$2:$E$15,4,FALSE),0)</f>
        <v>0</v>
      </c>
      <c r="J325" s="4">
        <f>IFERROR(VLOOKUP(G325,SKU_Cost_Input!$A$2:$E$15,2,FALSE),0)</f>
        <v>100</v>
      </c>
      <c r="K325" s="4">
        <f t="shared" si="10"/>
        <v>0</v>
      </c>
      <c r="L325" s="4">
        <f t="shared" si="11"/>
        <v>0</v>
      </c>
      <c r="M325" t="s">
        <v>85</v>
      </c>
    </row>
    <row r="326" spans="1:13" ht="16.05" customHeight="1">
      <c r="A326" t="s">
        <v>705</v>
      </c>
      <c r="B326" t="s">
        <v>704</v>
      </c>
      <c r="C326" t="s">
        <v>30</v>
      </c>
      <c r="E326" t="s">
        <v>279</v>
      </c>
      <c r="F326" t="s">
        <v>84</v>
      </c>
      <c r="G326" t="s">
        <v>60</v>
      </c>
      <c r="H326" t="s">
        <v>53</v>
      </c>
      <c r="I326" s="4">
        <f>IFERROR(VLOOKUP(G326,SKU_Cost_Input!$A$2:$E$15,4,FALSE),0)</f>
        <v>0</v>
      </c>
      <c r="J326" s="4">
        <f>IFERROR(VLOOKUP(G326,SKU_Cost_Input!$A$2:$E$15,2,FALSE),0)</f>
        <v>4</v>
      </c>
      <c r="K326" s="4">
        <f t="shared" si="10"/>
        <v>0</v>
      </c>
      <c r="L326" s="4">
        <f t="shared" si="11"/>
        <v>0</v>
      </c>
      <c r="M326" t="s">
        <v>280</v>
      </c>
    </row>
    <row r="327" spans="1:13" ht="16.05" customHeight="1">
      <c r="A327" t="s">
        <v>707</v>
      </c>
      <c r="B327" t="s">
        <v>706</v>
      </c>
      <c r="C327" t="s">
        <v>30</v>
      </c>
      <c r="E327" t="s">
        <v>279</v>
      </c>
      <c r="F327" t="s">
        <v>84</v>
      </c>
      <c r="G327" t="s">
        <v>62</v>
      </c>
      <c r="H327" t="s">
        <v>53</v>
      </c>
      <c r="I327" s="4">
        <f>IFERROR(VLOOKUP(G327,SKU_Cost_Input!$A$2:$E$15,4,FALSE),0)</f>
        <v>0</v>
      </c>
      <c r="J327" s="4">
        <f>IFERROR(VLOOKUP(G327,SKU_Cost_Input!$A$2:$E$15,2,FALSE),0)</f>
        <v>1</v>
      </c>
      <c r="K327" s="4">
        <f t="shared" si="10"/>
        <v>0</v>
      </c>
      <c r="L327" s="4">
        <f t="shared" si="11"/>
        <v>0</v>
      </c>
      <c r="M327" t="s">
        <v>280</v>
      </c>
    </row>
    <row r="328" spans="1:13" ht="16.05" customHeight="1">
      <c r="A328" t="s">
        <v>707</v>
      </c>
      <c r="B328" t="s">
        <v>706</v>
      </c>
      <c r="C328" t="s">
        <v>30</v>
      </c>
      <c r="E328" t="s">
        <v>279</v>
      </c>
      <c r="F328" t="s">
        <v>84</v>
      </c>
      <c r="G328" t="s">
        <v>42</v>
      </c>
      <c r="H328" t="s">
        <v>54</v>
      </c>
      <c r="I328" s="4">
        <f>IFERROR(VLOOKUP(G328,SKU_Cost_Input!$A$2:$E$15,4,FALSE),0)</f>
        <v>0</v>
      </c>
      <c r="J328" s="4">
        <f>IFERROR(VLOOKUP(G328,SKU_Cost_Input!$A$2:$E$15,2,FALSE),0)</f>
        <v>52</v>
      </c>
      <c r="K328" s="4">
        <f t="shared" si="10"/>
        <v>0</v>
      </c>
      <c r="L328" s="4">
        <f t="shared" si="11"/>
        <v>0</v>
      </c>
      <c r="M328" t="s">
        <v>280</v>
      </c>
    </row>
    <row r="329" spans="1:13" ht="16.05" customHeight="1">
      <c r="A329" t="s">
        <v>710</v>
      </c>
      <c r="B329" t="s">
        <v>709</v>
      </c>
      <c r="C329" t="s">
        <v>30</v>
      </c>
      <c r="D329" t="s">
        <v>712</v>
      </c>
      <c r="E329" t="s">
        <v>82</v>
      </c>
      <c r="F329" t="s">
        <v>84</v>
      </c>
      <c r="G329" t="s">
        <v>40</v>
      </c>
      <c r="H329" t="s">
        <v>51</v>
      </c>
      <c r="I329" s="4">
        <f>IFERROR(VLOOKUP(G329,SKU_Cost_Input!$A$2:$E$15,4,FALSE),0)</f>
        <v>0</v>
      </c>
      <c r="J329" s="4">
        <f>IFERROR(VLOOKUP(G329,SKU_Cost_Input!$A$2:$E$15,2,FALSE),0)</f>
        <v>130</v>
      </c>
      <c r="K329" s="4">
        <f t="shared" si="10"/>
        <v>0</v>
      </c>
      <c r="L329" s="4">
        <f t="shared" si="11"/>
        <v>0</v>
      </c>
      <c r="M329" t="s">
        <v>85</v>
      </c>
    </row>
    <row r="330" spans="1:13" ht="16.05" customHeight="1">
      <c r="A330" t="s">
        <v>710</v>
      </c>
      <c r="B330" t="s">
        <v>709</v>
      </c>
      <c r="C330" t="s">
        <v>30</v>
      </c>
      <c r="D330" t="s">
        <v>712</v>
      </c>
      <c r="E330" t="s">
        <v>82</v>
      </c>
      <c r="F330" t="s">
        <v>84</v>
      </c>
      <c r="G330" t="s">
        <v>41</v>
      </c>
      <c r="H330" t="s">
        <v>53</v>
      </c>
      <c r="I330" s="4">
        <f>IFERROR(VLOOKUP(G330,SKU_Cost_Input!$A$2:$E$15,4,FALSE),0)</f>
        <v>0</v>
      </c>
      <c r="J330" s="4">
        <f>IFERROR(VLOOKUP(G330,SKU_Cost_Input!$A$2:$E$15,2,FALSE),0)</f>
        <v>100</v>
      </c>
      <c r="K330" s="4">
        <f t="shared" si="10"/>
        <v>0</v>
      </c>
      <c r="L330" s="4">
        <f t="shared" si="11"/>
        <v>0</v>
      </c>
      <c r="M330" t="s">
        <v>85</v>
      </c>
    </row>
    <row r="331" spans="1:13" ht="16.05" customHeight="1">
      <c r="A331" t="s">
        <v>715</v>
      </c>
      <c r="B331" t="s">
        <v>714</v>
      </c>
      <c r="C331" t="s">
        <v>30</v>
      </c>
      <c r="D331" t="s">
        <v>718</v>
      </c>
      <c r="E331" t="s">
        <v>82</v>
      </c>
      <c r="F331" t="s">
        <v>84</v>
      </c>
      <c r="G331" t="s">
        <v>44</v>
      </c>
      <c r="H331" t="s">
        <v>53</v>
      </c>
      <c r="I331" s="4">
        <f>IFERROR(VLOOKUP(G331,SKU_Cost_Input!$A$2:$E$15,4,FALSE),0)</f>
        <v>0</v>
      </c>
      <c r="J331" s="4">
        <f>IFERROR(VLOOKUP(G331,SKU_Cost_Input!$A$2:$E$15,2,FALSE),0)</f>
        <v>21</v>
      </c>
      <c r="K331" s="4">
        <f t="shared" si="10"/>
        <v>0</v>
      </c>
      <c r="L331" s="4">
        <f t="shared" si="11"/>
        <v>0</v>
      </c>
      <c r="M331" t="s">
        <v>85</v>
      </c>
    </row>
    <row r="332" spans="1:13" ht="16.05" customHeight="1">
      <c r="A332" t="s">
        <v>715</v>
      </c>
      <c r="B332" t="s">
        <v>714</v>
      </c>
      <c r="C332" t="s">
        <v>30</v>
      </c>
      <c r="D332" t="s">
        <v>718</v>
      </c>
      <c r="E332" t="s">
        <v>82</v>
      </c>
      <c r="F332" t="s">
        <v>84</v>
      </c>
      <c r="G332" t="s">
        <v>40</v>
      </c>
      <c r="H332" t="s">
        <v>51</v>
      </c>
      <c r="I332" s="4">
        <f>IFERROR(VLOOKUP(G332,SKU_Cost_Input!$A$2:$E$15,4,FALSE),0)</f>
        <v>0</v>
      </c>
      <c r="J332" s="4">
        <f>IFERROR(VLOOKUP(G332,SKU_Cost_Input!$A$2:$E$15,2,FALSE),0)</f>
        <v>130</v>
      </c>
      <c r="K332" s="4">
        <f t="shared" si="10"/>
        <v>0</v>
      </c>
      <c r="L332" s="4">
        <f t="shared" si="11"/>
        <v>0</v>
      </c>
      <c r="M332" t="s">
        <v>85</v>
      </c>
    </row>
    <row r="333" spans="1:13" ht="16.05" customHeight="1">
      <c r="A333" t="s">
        <v>715</v>
      </c>
      <c r="B333" t="s">
        <v>714</v>
      </c>
      <c r="C333" t="s">
        <v>30</v>
      </c>
      <c r="D333" t="s">
        <v>718</v>
      </c>
      <c r="E333" t="s">
        <v>82</v>
      </c>
      <c r="F333" t="s">
        <v>84</v>
      </c>
      <c r="G333" t="s">
        <v>43</v>
      </c>
      <c r="H333" t="s">
        <v>54</v>
      </c>
      <c r="I333" s="4">
        <f>IFERROR(VLOOKUP(G333,SKU_Cost_Input!$A$2:$E$15,4,FALSE),0)</f>
        <v>0</v>
      </c>
      <c r="J333" s="4">
        <f>IFERROR(VLOOKUP(G333,SKU_Cost_Input!$A$2:$E$15,2,FALSE),0)</f>
        <v>50</v>
      </c>
      <c r="K333" s="4">
        <f t="shared" si="10"/>
        <v>0</v>
      </c>
      <c r="L333" s="4">
        <f t="shared" si="11"/>
        <v>0</v>
      </c>
      <c r="M333" t="s">
        <v>85</v>
      </c>
    </row>
    <row r="334" spans="1:13" ht="16.05" customHeight="1">
      <c r="A334" t="s">
        <v>721</v>
      </c>
      <c r="B334" t="s">
        <v>720</v>
      </c>
      <c r="C334" t="s">
        <v>30</v>
      </c>
      <c r="D334" t="s">
        <v>724</v>
      </c>
      <c r="E334" t="s">
        <v>82</v>
      </c>
      <c r="F334" t="s">
        <v>84</v>
      </c>
      <c r="G334" t="s">
        <v>40</v>
      </c>
      <c r="H334" t="s">
        <v>51</v>
      </c>
      <c r="I334" s="4">
        <f>IFERROR(VLOOKUP(G334,SKU_Cost_Input!$A$2:$E$15,4,FALSE),0)</f>
        <v>0</v>
      </c>
      <c r="J334" s="4">
        <f>IFERROR(VLOOKUP(G334,SKU_Cost_Input!$A$2:$E$15,2,FALSE),0)</f>
        <v>130</v>
      </c>
      <c r="K334" s="4">
        <f t="shared" si="10"/>
        <v>0</v>
      </c>
      <c r="L334" s="4">
        <f t="shared" si="11"/>
        <v>0</v>
      </c>
      <c r="M334" t="s">
        <v>85</v>
      </c>
    </row>
    <row r="335" spans="1:13" ht="16.05" customHeight="1">
      <c r="A335" t="s">
        <v>721</v>
      </c>
      <c r="B335" t="s">
        <v>720</v>
      </c>
      <c r="C335" t="s">
        <v>30</v>
      </c>
      <c r="D335" t="s">
        <v>724</v>
      </c>
      <c r="E335" t="s">
        <v>82</v>
      </c>
      <c r="F335" t="s">
        <v>84</v>
      </c>
      <c r="G335" t="s">
        <v>41</v>
      </c>
      <c r="H335" t="s">
        <v>53</v>
      </c>
      <c r="I335" s="4">
        <f>IFERROR(VLOOKUP(G335,SKU_Cost_Input!$A$2:$E$15,4,FALSE),0)</f>
        <v>0</v>
      </c>
      <c r="J335" s="4">
        <f>IFERROR(VLOOKUP(G335,SKU_Cost_Input!$A$2:$E$15,2,FALSE),0)</f>
        <v>100</v>
      </c>
      <c r="K335" s="4">
        <f t="shared" si="10"/>
        <v>0</v>
      </c>
      <c r="L335" s="4">
        <f t="shared" si="11"/>
        <v>0</v>
      </c>
      <c r="M335" t="s">
        <v>85</v>
      </c>
    </row>
    <row r="336" spans="1:13" ht="16.05" customHeight="1">
      <c r="A336" t="s">
        <v>727</v>
      </c>
      <c r="B336" t="s">
        <v>726</v>
      </c>
      <c r="C336" t="s">
        <v>30</v>
      </c>
      <c r="D336" t="s">
        <v>730</v>
      </c>
      <c r="E336" t="s">
        <v>82</v>
      </c>
      <c r="F336" t="s">
        <v>84</v>
      </c>
      <c r="G336" t="s">
        <v>40</v>
      </c>
      <c r="H336" t="s">
        <v>51</v>
      </c>
      <c r="I336" s="4">
        <f>IFERROR(VLOOKUP(G336,SKU_Cost_Input!$A$2:$E$15,4,FALSE),0)</f>
        <v>0</v>
      </c>
      <c r="J336" s="4">
        <f>IFERROR(VLOOKUP(G336,SKU_Cost_Input!$A$2:$E$15,2,FALSE),0)</f>
        <v>130</v>
      </c>
      <c r="K336" s="4">
        <f t="shared" si="10"/>
        <v>0</v>
      </c>
      <c r="L336" s="4">
        <f t="shared" si="11"/>
        <v>0</v>
      </c>
      <c r="M336" t="s">
        <v>85</v>
      </c>
    </row>
    <row r="337" spans="1:13" ht="16.05" customHeight="1">
      <c r="A337" t="s">
        <v>727</v>
      </c>
      <c r="B337" t="s">
        <v>726</v>
      </c>
      <c r="C337" t="s">
        <v>30</v>
      </c>
      <c r="D337" t="s">
        <v>730</v>
      </c>
      <c r="E337" t="s">
        <v>82</v>
      </c>
      <c r="F337" t="s">
        <v>84</v>
      </c>
      <c r="G337" t="s">
        <v>41</v>
      </c>
      <c r="H337" t="s">
        <v>53</v>
      </c>
      <c r="I337" s="4">
        <f>IFERROR(VLOOKUP(G337,SKU_Cost_Input!$A$2:$E$15,4,FALSE),0)</f>
        <v>0</v>
      </c>
      <c r="J337" s="4">
        <f>IFERROR(VLOOKUP(G337,SKU_Cost_Input!$A$2:$E$15,2,FALSE),0)</f>
        <v>100</v>
      </c>
      <c r="K337" s="4">
        <f t="shared" si="10"/>
        <v>0</v>
      </c>
      <c r="L337" s="4">
        <f t="shared" si="11"/>
        <v>0</v>
      </c>
      <c r="M337" t="s">
        <v>85</v>
      </c>
    </row>
    <row r="338" spans="1:13" ht="16.05" customHeight="1">
      <c r="A338" t="s">
        <v>733</v>
      </c>
      <c r="B338" t="s">
        <v>732</v>
      </c>
      <c r="C338" t="s">
        <v>30</v>
      </c>
      <c r="D338" t="s">
        <v>736</v>
      </c>
      <c r="E338" t="s">
        <v>82</v>
      </c>
      <c r="F338" t="s">
        <v>84</v>
      </c>
      <c r="G338" t="s">
        <v>40</v>
      </c>
      <c r="H338" t="s">
        <v>51</v>
      </c>
      <c r="I338" s="4">
        <f>IFERROR(VLOOKUP(G338,SKU_Cost_Input!$A$2:$E$15,4,FALSE),0)</f>
        <v>0</v>
      </c>
      <c r="J338" s="4">
        <f>IFERROR(VLOOKUP(G338,SKU_Cost_Input!$A$2:$E$15,2,FALSE),0)</f>
        <v>130</v>
      </c>
      <c r="K338" s="4">
        <f t="shared" si="10"/>
        <v>0</v>
      </c>
      <c r="L338" s="4">
        <f t="shared" si="11"/>
        <v>0</v>
      </c>
      <c r="M338" t="s">
        <v>85</v>
      </c>
    </row>
    <row r="339" spans="1:13" ht="16.05" customHeight="1">
      <c r="A339" t="s">
        <v>733</v>
      </c>
      <c r="B339" t="s">
        <v>732</v>
      </c>
      <c r="C339" t="s">
        <v>30</v>
      </c>
      <c r="D339" t="s">
        <v>736</v>
      </c>
      <c r="E339" t="s">
        <v>82</v>
      </c>
      <c r="F339" t="s">
        <v>84</v>
      </c>
      <c r="G339" t="s">
        <v>41</v>
      </c>
      <c r="H339" t="s">
        <v>53</v>
      </c>
      <c r="I339" s="4">
        <f>IFERROR(VLOOKUP(G339,SKU_Cost_Input!$A$2:$E$15,4,FALSE),0)</f>
        <v>0</v>
      </c>
      <c r="J339" s="4">
        <f>IFERROR(VLOOKUP(G339,SKU_Cost_Input!$A$2:$E$15,2,FALSE),0)</f>
        <v>100</v>
      </c>
      <c r="K339" s="4">
        <f t="shared" si="10"/>
        <v>0</v>
      </c>
      <c r="L339" s="4">
        <f t="shared" si="11"/>
        <v>0</v>
      </c>
      <c r="M339" t="s">
        <v>85</v>
      </c>
    </row>
    <row r="340" spans="1:13" ht="16.05" customHeight="1">
      <c r="A340" t="s">
        <v>739</v>
      </c>
      <c r="B340" t="s">
        <v>738</v>
      </c>
      <c r="C340" t="s">
        <v>30</v>
      </c>
      <c r="D340" t="s">
        <v>742</v>
      </c>
      <c r="E340" t="s">
        <v>82</v>
      </c>
      <c r="F340" t="s">
        <v>84</v>
      </c>
      <c r="G340" t="s">
        <v>40</v>
      </c>
      <c r="H340" t="s">
        <v>51</v>
      </c>
      <c r="I340" s="4">
        <f>IFERROR(VLOOKUP(G340,SKU_Cost_Input!$A$2:$E$15,4,FALSE),0)</f>
        <v>0</v>
      </c>
      <c r="J340" s="4">
        <f>IFERROR(VLOOKUP(G340,SKU_Cost_Input!$A$2:$E$15,2,FALSE),0)</f>
        <v>130</v>
      </c>
      <c r="K340" s="4">
        <f t="shared" si="10"/>
        <v>0</v>
      </c>
      <c r="L340" s="4">
        <f t="shared" si="11"/>
        <v>0</v>
      </c>
      <c r="M340" t="s">
        <v>85</v>
      </c>
    </row>
    <row r="341" spans="1:13" ht="16.05" customHeight="1">
      <c r="A341" t="s">
        <v>739</v>
      </c>
      <c r="B341" t="s">
        <v>738</v>
      </c>
      <c r="C341" t="s">
        <v>30</v>
      </c>
      <c r="D341" t="s">
        <v>742</v>
      </c>
      <c r="E341" t="s">
        <v>82</v>
      </c>
      <c r="F341" t="s">
        <v>84</v>
      </c>
      <c r="G341" t="s">
        <v>41</v>
      </c>
      <c r="H341" t="s">
        <v>53</v>
      </c>
      <c r="I341" s="4">
        <f>IFERROR(VLOOKUP(G341,SKU_Cost_Input!$A$2:$E$15,4,FALSE),0)</f>
        <v>0</v>
      </c>
      <c r="J341" s="4">
        <f>IFERROR(VLOOKUP(G341,SKU_Cost_Input!$A$2:$E$15,2,FALSE),0)</f>
        <v>100</v>
      </c>
      <c r="K341" s="4">
        <f t="shared" si="10"/>
        <v>0</v>
      </c>
      <c r="L341" s="4">
        <f t="shared" si="11"/>
        <v>0</v>
      </c>
      <c r="M341" t="s">
        <v>85</v>
      </c>
    </row>
    <row r="342" spans="1:13" ht="16.05" customHeight="1">
      <c r="A342" t="s">
        <v>746</v>
      </c>
      <c r="B342" t="s">
        <v>745</v>
      </c>
      <c r="C342" t="s">
        <v>30</v>
      </c>
      <c r="D342" t="s">
        <v>748</v>
      </c>
      <c r="E342" t="s">
        <v>82</v>
      </c>
      <c r="F342" t="s">
        <v>84</v>
      </c>
      <c r="G342" t="s">
        <v>40</v>
      </c>
      <c r="H342" t="s">
        <v>51</v>
      </c>
      <c r="I342" s="4">
        <f>IFERROR(VLOOKUP(G342,SKU_Cost_Input!$A$2:$E$15,4,FALSE),0)</f>
        <v>0</v>
      </c>
      <c r="J342" s="4">
        <f>IFERROR(VLOOKUP(G342,SKU_Cost_Input!$A$2:$E$15,2,FALSE),0)</f>
        <v>130</v>
      </c>
      <c r="K342" s="4">
        <f t="shared" si="10"/>
        <v>0</v>
      </c>
      <c r="L342" s="4">
        <f t="shared" si="11"/>
        <v>0</v>
      </c>
      <c r="M342" t="s">
        <v>85</v>
      </c>
    </row>
    <row r="343" spans="1:13" ht="16.05" customHeight="1">
      <c r="A343" t="s">
        <v>746</v>
      </c>
      <c r="B343" t="s">
        <v>745</v>
      </c>
      <c r="C343" t="s">
        <v>30</v>
      </c>
      <c r="D343" t="s">
        <v>748</v>
      </c>
      <c r="E343" t="s">
        <v>82</v>
      </c>
      <c r="F343" t="s">
        <v>84</v>
      </c>
      <c r="G343" t="s">
        <v>41</v>
      </c>
      <c r="H343" t="s">
        <v>53</v>
      </c>
      <c r="I343" s="4">
        <f>IFERROR(VLOOKUP(G343,SKU_Cost_Input!$A$2:$E$15,4,FALSE),0)</f>
        <v>0</v>
      </c>
      <c r="J343" s="4">
        <f>IFERROR(VLOOKUP(G343,SKU_Cost_Input!$A$2:$E$15,2,FALSE),0)</f>
        <v>100</v>
      </c>
      <c r="K343" s="4">
        <f t="shared" si="10"/>
        <v>0</v>
      </c>
      <c r="L343" s="4">
        <f t="shared" si="11"/>
        <v>0</v>
      </c>
      <c r="M343" t="s">
        <v>85</v>
      </c>
    </row>
    <row r="344" spans="1:13" ht="16.05" customHeight="1">
      <c r="A344" t="s">
        <v>752</v>
      </c>
      <c r="B344" t="s">
        <v>751</v>
      </c>
      <c r="C344" t="s">
        <v>30</v>
      </c>
      <c r="D344" t="s">
        <v>754</v>
      </c>
      <c r="E344" t="s">
        <v>82</v>
      </c>
      <c r="F344" t="s">
        <v>84</v>
      </c>
      <c r="G344" t="s">
        <v>40</v>
      </c>
      <c r="H344" t="s">
        <v>51</v>
      </c>
      <c r="I344" s="4">
        <f>IFERROR(VLOOKUP(G344,SKU_Cost_Input!$A$2:$E$15,4,FALSE),0)</f>
        <v>0</v>
      </c>
      <c r="J344" s="4">
        <f>IFERROR(VLOOKUP(G344,SKU_Cost_Input!$A$2:$E$15,2,FALSE),0)</f>
        <v>130</v>
      </c>
      <c r="K344" s="4">
        <f t="shared" si="10"/>
        <v>0</v>
      </c>
      <c r="L344" s="4">
        <f t="shared" si="11"/>
        <v>0</v>
      </c>
      <c r="M344" t="s">
        <v>85</v>
      </c>
    </row>
    <row r="345" spans="1:13" ht="16.05" customHeight="1">
      <c r="A345" t="s">
        <v>752</v>
      </c>
      <c r="B345" t="s">
        <v>751</v>
      </c>
      <c r="C345" t="s">
        <v>30</v>
      </c>
      <c r="D345" t="s">
        <v>754</v>
      </c>
      <c r="E345" t="s">
        <v>82</v>
      </c>
      <c r="F345" t="s">
        <v>84</v>
      </c>
      <c r="G345" t="s">
        <v>42</v>
      </c>
      <c r="H345" t="s">
        <v>54</v>
      </c>
      <c r="I345" s="4">
        <f>IFERROR(VLOOKUP(G345,SKU_Cost_Input!$A$2:$E$15,4,FALSE),0)</f>
        <v>0</v>
      </c>
      <c r="J345" s="4">
        <f>IFERROR(VLOOKUP(G345,SKU_Cost_Input!$A$2:$E$15,2,FALSE),0)</f>
        <v>52</v>
      </c>
      <c r="K345" s="4">
        <f t="shared" si="10"/>
        <v>0</v>
      </c>
      <c r="L345" s="4">
        <f t="shared" si="11"/>
        <v>0</v>
      </c>
      <c r="M345" t="s">
        <v>85</v>
      </c>
    </row>
    <row r="346" spans="1:13" ht="16.05" customHeight="1">
      <c r="A346" t="s">
        <v>752</v>
      </c>
      <c r="B346" t="s">
        <v>751</v>
      </c>
      <c r="C346" t="s">
        <v>30</v>
      </c>
      <c r="D346" t="s">
        <v>754</v>
      </c>
      <c r="E346" t="s">
        <v>82</v>
      </c>
      <c r="F346" t="s">
        <v>84</v>
      </c>
      <c r="G346" t="s">
        <v>41</v>
      </c>
      <c r="H346" t="s">
        <v>53</v>
      </c>
      <c r="I346" s="4">
        <f>IFERROR(VLOOKUP(G346,SKU_Cost_Input!$A$2:$E$15,4,FALSE),0)</f>
        <v>0</v>
      </c>
      <c r="J346" s="4">
        <f>IFERROR(VLOOKUP(G346,SKU_Cost_Input!$A$2:$E$15,2,FALSE),0)</f>
        <v>100</v>
      </c>
      <c r="K346" s="4">
        <f t="shared" si="10"/>
        <v>0</v>
      </c>
      <c r="L346" s="4">
        <f t="shared" si="11"/>
        <v>0</v>
      </c>
      <c r="M346" t="s">
        <v>85</v>
      </c>
    </row>
    <row r="347" spans="1:13" ht="16.05" customHeight="1">
      <c r="A347" t="s">
        <v>758</v>
      </c>
      <c r="B347" t="s">
        <v>757</v>
      </c>
      <c r="C347" t="s">
        <v>30</v>
      </c>
      <c r="D347" t="s">
        <v>760</v>
      </c>
      <c r="E347" t="s">
        <v>82</v>
      </c>
      <c r="F347" t="s">
        <v>84</v>
      </c>
      <c r="G347" t="s">
        <v>40</v>
      </c>
      <c r="H347" t="s">
        <v>51</v>
      </c>
      <c r="I347" s="4">
        <f>IFERROR(VLOOKUP(G347,SKU_Cost_Input!$A$2:$E$15,4,FALSE),0)</f>
        <v>0</v>
      </c>
      <c r="J347" s="4">
        <f>IFERROR(VLOOKUP(G347,SKU_Cost_Input!$A$2:$E$15,2,FALSE),0)</f>
        <v>130</v>
      </c>
      <c r="K347" s="4">
        <f t="shared" si="10"/>
        <v>0</v>
      </c>
      <c r="L347" s="4">
        <f t="shared" si="11"/>
        <v>0</v>
      </c>
      <c r="M347" t="s">
        <v>85</v>
      </c>
    </row>
    <row r="348" spans="1:13" ht="16.05" customHeight="1">
      <c r="A348" t="s">
        <v>758</v>
      </c>
      <c r="B348" t="s">
        <v>757</v>
      </c>
      <c r="C348" t="s">
        <v>30</v>
      </c>
      <c r="D348" t="s">
        <v>760</v>
      </c>
      <c r="E348" t="s">
        <v>82</v>
      </c>
      <c r="F348" t="s">
        <v>84</v>
      </c>
      <c r="G348" t="s">
        <v>41</v>
      </c>
      <c r="H348" t="s">
        <v>53</v>
      </c>
      <c r="I348" s="4">
        <f>IFERROR(VLOOKUP(G348,SKU_Cost_Input!$A$2:$E$15,4,FALSE),0)</f>
        <v>0</v>
      </c>
      <c r="J348" s="4">
        <f>IFERROR(VLOOKUP(G348,SKU_Cost_Input!$A$2:$E$15,2,FALSE),0)</f>
        <v>100</v>
      </c>
      <c r="K348" s="4">
        <f t="shared" si="10"/>
        <v>0</v>
      </c>
      <c r="L348" s="4">
        <f t="shared" si="11"/>
        <v>0</v>
      </c>
      <c r="M348" t="s">
        <v>85</v>
      </c>
    </row>
    <row r="349" spans="1:13" ht="16.05" customHeight="1">
      <c r="A349" t="s">
        <v>763</v>
      </c>
      <c r="B349" t="s">
        <v>762</v>
      </c>
      <c r="C349" t="s">
        <v>30</v>
      </c>
      <c r="D349" t="s">
        <v>766</v>
      </c>
      <c r="E349" t="s">
        <v>82</v>
      </c>
      <c r="F349" t="s">
        <v>84</v>
      </c>
      <c r="G349" t="s">
        <v>43</v>
      </c>
      <c r="H349" t="s">
        <v>54</v>
      </c>
      <c r="I349" s="4">
        <f>IFERROR(VLOOKUP(G349,SKU_Cost_Input!$A$2:$E$15,4,FALSE),0)</f>
        <v>0</v>
      </c>
      <c r="J349" s="4">
        <f>IFERROR(VLOOKUP(G349,SKU_Cost_Input!$A$2:$E$15,2,FALSE),0)</f>
        <v>50</v>
      </c>
      <c r="K349" s="4">
        <f t="shared" si="10"/>
        <v>0</v>
      </c>
      <c r="L349" s="4">
        <f t="shared" si="11"/>
        <v>0</v>
      </c>
      <c r="M349" t="s">
        <v>85</v>
      </c>
    </row>
    <row r="350" spans="1:13" ht="16.05" customHeight="1">
      <c r="A350" t="s">
        <v>763</v>
      </c>
      <c r="B350" t="s">
        <v>762</v>
      </c>
      <c r="C350" t="s">
        <v>30</v>
      </c>
      <c r="D350" t="s">
        <v>766</v>
      </c>
      <c r="E350" t="s">
        <v>82</v>
      </c>
      <c r="F350" t="s">
        <v>84</v>
      </c>
      <c r="G350" t="s">
        <v>41</v>
      </c>
      <c r="H350" t="s">
        <v>53</v>
      </c>
      <c r="I350" s="4">
        <f>IFERROR(VLOOKUP(G350,SKU_Cost_Input!$A$2:$E$15,4,FALSE),0)</f>
        <v>0</v>
      </c>
      <c r="J350" s="4">
        <f>IFERROR(VLOOKUP(G350,SKU_Cost_Input!$A$2:$E$15,2,FALSE),0)</f>
        <v>100</v>
      </c>
      <c r="K350" s="4">
        <f t="shared" si="10"/>
        <v>0</v>
      </c>
      <c r="L350" s="4">
        <f t="shared" si="11"/>
        <v>0</v>
      </c>
      <c r="M350" t="s">
        <v>85</v>
      </c>
    </row>
    <row r="351" spans="1:13" ht="16.05" customHeight="1">
      <c r="A351" t="s">
        <v>770</v>
      </c>
      <c r="B351" t="s">
        <v>769</v>
      </c>
      <c r="C351" t="s">
        <v>30</v>
      </c>
      <c r="D351" t="s">
        <v>772</v>
      </c>
      <c r="E351" t="s">
        <v>82</v>
      </c>
      <c r="F351" t="s">
        <v>84</v>
      </c>
      <c r="G351" t="s">
        <v>40</v>
      </c>
      <c r="H351" t="s">
        <v>51</v>
      </c>
      <c r="I351" s="4">
        <f>IFERROR(VLOOKUP(G351,SKU_Cost_Input!$A$2:$E$15,4,FALSE),0)</f>
        <v>0</v>
      </c>
      <c r="J351" s="4">
        <f>IFERROR(VLOOKUP(G351,SKU_Cost_Input!$A$2:$E$15,2,FALSE),0)</f>
        <v>130</v>
      </c>
      <c r="K351" s="4">
        <f t="shared" si="10"/>
        <v>0</v>
      </c>
      <c r="L351" s="4">
        <f t="shared" si="11"/>
        <v>0</v>
      </c>
      <c r="M351" t="s">
        <v>85</v>
      </c>
    </row>
    <row r="352" spans="1:13" ht="16.05" customHeight="1">
      <c r="A352" t="s">
        <v>770</v>
      </c>
      <c r="B352" t="s">
        <v>769</v>
      </c>
      <c r="C352" t="s">
        <v>30</v>
      </c>
      <c r="D352" t="s">
        <v>772</v>
      </c>
      <c r="E352" t="s">
        <v>82</v>
      </c>
      <c r="F352" t="s">
        <v>84</v>
      </c>
      <c r="G352" t="s">
        <v>41</v>
      </c>
      <c r="H352" t="s">
        <v>53</v>
      </c>
      <c r="I352" s="4">
        <f>IFERROR(VLOOKUP(G352,SKU_Cost_Input!$A$2:$E$15,4,FALSE),0)</f>
        <v>0</v>
      </c>
      <c r="J352" s="4">
        <f>IFERROR(VLOOKUP(G352,SKU_Cost_Input!$A$2:$E$15,2,FALSE),0)</f>
        <v>100</v>
      </c>
      <c r="K352" s="4">
        <f t="shared" si="10"/>
        <v>0</v>
      </c>
      <c r="L352" s="4">
        <f t="shared" si="11"/>
        <v>0</v>
      </c>
      <c r="M352" t="s">
        <v>85</v>
      </c>
    </row>
    <row r="353" spans="1:13" ht="16.05" customHeight="1">
      <c r="A353" t="s">
        <v>775</v>
      </c>
      <c r="B353" t="s">
        <v>774</v>
      </c>
      <c r="C353" t="s">
        <v>30</v>
      </c>
      <c r="E353" t="s">
        <v>279</v>
      </c>
      <c r="F353" t="s">
        <v>84</v>
      </c>
      <c r="G353" t="s">
        <v>40</v>
      </c>
      <c r="H353" t="s">
        <v>51</v>
      </c>
      <c r="I353" s="4">
        <f>IFERROR(VLOOKUP(G353,SKU_Cost_Input!$A$2:$E$15,4,FALSE),0)</f>
        <v>0</v>
      </c>
      <c r="J353" s="4">
        <f>IFERROR(VLOOKUP(G353,SKU_Cost_Input!$A$2:$E$15,2,FALSE),0)</f>
        <v>130</v>
      </c>
      <c r="K353" s="4">
        <f t="shared" si="10"/>
        <v>0</v>
      </c>
      <c r="L353" s="4">
        <f t="shared" si="11"/>
        <v>0</v>
      </c>
      <c r="M353" t="s">
        <v>280</v>
      </c>
    </row>
    <row r="354" spans="1:13" ht="16.05" customHeight="1">
      <c r="A354" t="s">
        <v>775</v>
      </c>
      <c r="B354" t="s">
        <v>774</v>
      </c>
      <c r="C354" t="s">
        <v>30</v>
      </c>
      <c r="E354" t="s">
        <v>279</v>
      </c>
      <c r="F354" t="s">
        <v>84</v>
      </c>
      <c r="G354" t="s">
        <v>45</v>
      </c>
      <c r="H354" t="s">
        <v>53</v>
      </c>
      <c r="I354" s="4">
        <f>IFERROR(VLOOKUP(G354,SKU_Cost_Input!$A$2:$E$15,4,FALSE),0)</f>
        <v>0</v>
      </c>
      <c r="J354" s="4">
        <f>IFERROR(VLOOKUP(G354,SKU_Cost_Input!$A$2:$E$15,2,FALSE),0)</f>
        <v>14</v>
      </c>
      <c r="K354" s="4">
        <f t="shared" si="10"/>
        <v>0</v>
      </c>
      <c r="L354" s="4">
        <f t="shared" si="11"/>
        <v>0</v>
      </c>
      <c r="M354" t="s">
        <v>280</v>
      </c>
    </row>
    <row r="355" spans="1:13" ht="16.05" customHeight="1">
      <c r="A355" t="s">
        <v>777</v>
      </c>
      <c r="B355" t="s">
        <v>776</v>
      </c>
      <c r="C355" t="s">
        <v>30</v>
      </c>
      <c r="D355" t="s">
        <v>780</v>
      </c>
      <c r="E355" t="s">
        <v>82</v>
      </c>
      <c r="F355" t="s">
        <v>84</v>
      </c>
      <c r="G355" t="s">
        <v>40</v>
      </c>
      <c r="H355" t="s">
        <v>51</v>
      </c>
      <c r="I355" s="4">
        <f>IFERROR(VLOOKUP(G355,SKU_Cost_Input!$A$2:$E$15,4,FALSE),0)</f>
        <v>0</v>
      </c>
      <c r="J355" s="4">
        <f>IFERROR(VLOOKUP(G355,SKU_Cost_Input!$A$2:$E$15,2,FALSE),0)</f>
        <v>130</v>
      </c>
      <c r="K355" s="4">
        <f t="shared" si="10"/>
        <v>0</v>
      </c>
      <c r="L355" s="4">
        <f t="shared" si="11"/>
        <v>0</v>
      </c>
      <c r="M355" t="s">
        <v>85</v>
      </c>
    </row>
    <row r="356" spans="1:13" ht="16.05" customHeight="1">
      <c r="A356" t="s">
        <v>777</v>
      </c>
      <c r="B356" t="s">
        <v>776</v>
      </c>
      <c r="C356" t="s">
        <v>30</v>
      </c>
      <c r="D356" t="s">
        <v>780</v>
      </c>
      <c r="E356" t="s">
        <v>82</v>
      </c>
      <c r="F356" t="s">
        <v>84</v>
      </c>
      <c r="G356" t="s">
        <v>41</v>
      </c>
      <c r="H356" t="s">
        <v>53</v>
      </c>
      <c r="I356" s="4">
        <f>IFERROR(VLOOKUP(G356,SKU_Cost_Input!$A$2:$E$15,4,FALSE),0)</f>
        <v>0</v>
      </c>
      <c r="J356" s="4">
        <f>IFERROR(VLOOKUP(G356,SKU_Cost_Input!$A$2:$E$15,2,FALSE),0)</f>
        <v>100</v>
      </c>
      <c r="K356" s="4">
        <f t="shared" si="10"/>
        <v>0</v>
      </c>
      <c r="L356" s="4">
        <f t="shared" si="11"/>
        <v>0</v>
      </c>
      <c r="M356" t="s">
        <v>85</v>
      </c>
    </row>
    <row r="357" spans="1:13" ht="16.05" customHeight="1">
      <c r="A357" t="s">
        <v>783</v>
      </c>
      <c r="B357" t="s">
        <v>782</v>
      </c>
      <c r="C357" t="s">
        <v>30</v>
      </c>
      <c r="E357" t="s">
        <v>279</v>
      </c>
      <c r="F357" t="s">
        <v>84</v>
      </c>
      <c r="G357" t="s">
        <v>40</v>
      </c>
      <c r="H357" t="s">
        <v>51</v>
      </c>
      <c r="I357" s="4">
        <f>IFERROR(VLOOKUP(G357,SKU_Cost_Input!$A$2:$E$15,4,FALSE),0)</f>
        <v>0</v>
      </c>
      <c r="J357" s="4">
        <f>IFERROR(VLOOKUP(G357,SKU_Cost_Input!$A$2:$E$15,2,FALSE),0)</f>
        <v>130</v>
      </c>
      <c r="K357" s="4">
        <f t="shared" si="10"/>
        <v>0</v>
      </c>
      <c r="L357" s="4">
        <f t="shared" si="11"/>
        <v>0</v>
      </c>
      <c r="M357" t="s">
        <v>280</v>
      </c>
    </row>
    <row r="358" spans="1:13" ht="16.05" customHeight="1">
      <c r="A358" t="s">
        <v>783</v>
      </c>
      <c r="B358" t="s">
        <v>782</v>
      </c>
      <c r="C358" t="s">
        <v>30</v>
      </c>
      <c r="E358" t="s">
        <v>279</v>
      </c>
      <c r="F358" t="s">
        <v>84</v>
      </c>
      <c r="G358" t="s">
        <v>43</v>
      </c>
      <c r="H358" t="s">
        <v>54</v>
      </c>
      <c r="I358" s="4">
        <f>IFERROR(VLOOKUP(G358,SKU_Cost_Input!$A$2:$E$15,4,FALSE),0)</f>
        <v>0</v>
      </c>
      <c r="J358" s="4">
        <f>IFERROR(VLOOKUP(G358,SKU_Cost_Input!$A$2:$E$15,2,FALSE),0)</f>
        <v>50</v>
      </c>
      <c r="K358" s="4">
        <f t="shared" si="10"/>
        <v>0</v>
      </c>
      <c r="L358" s="4">
        <f t="shared" si="11"/>
        <v>0</v>
      </c>
      <c r="M358" t="s">
        <v>280</v>
      </c>
    </row>
    <row r="359" spans="1:13" ht="16.05" customHeight="1">
      <c r="A359" t="s">
        <v>783</v>
      </c>
      <c r="B359" t="s">
        <v>782</v>
      </c>
      <c r="C359" t="s">
        <v>30</v>
      </c>
      <c r="E359" t="s">
        <v>279</v>
      </c>
      <c r="F359" t="s">
        <v>84</v>
      </c>
      <c r="G359" t="s">
        <v>41</v>
      </c>
      <c r="H359" t="s">
        <v>53</v>
      </c>
      <c r="I359" s="4">
        <f>IFERROR(VLOOKUP(G359,SKU_Cost_Input!$A$2:$E$15,4,FALSE),0)</f>
        <v>0</v>
      </c>
      <c r="J359" s="4">
        <f>IFERROR(VLOOKUP(G359,SKU_Cost_Input!$A$2:$E$15,2,FALSE),0)</f>
        <v>100</v>
      </c>
      <c r="K359" s="4">
        <f t="shared" si="10"/>
        <v>0</v>
      </c>
      <c r="L359" s="4">
        <f t="shared" si="11"/>
        <v>0</v>
      </c>
      <c r="M359" t="s">
        <v>280</v>
      </c>
    </row>
    <row r="360" spans="1:13" ht="16.05" customHeight="1">
      <c r="A360" t="s">
        <v>785</v>
      </c>
      <c r="B360" t="s">
        <v>784</v>
      </c>
      <c r="C360" t="s">
        <v>30</v>
      </c>
      <c r="E360" t="s">
        <v>279</v>
      </c>
      <c r="F360" t="s">
        <v>84</v>
      </c>
      <c r="G360" t="s">
        <v>40</v>
      </c>
      <c r="H360" t="s">
        <v>51</v>
      </c>
      <c r="I360" s="4">
        <f>IFERROR(VLOOKUP(G360,SKU_Cost_Input!$A$2:$E$15,4,FALSE),0)</f>
        <v>0</v>
      </c>
      <c r="J360" s="4">
        <f>IFERROR(VLOOKUP(G360,SKU_Cost_Input!$A$2:$E$15,2,FALSE),0)</f>
        <v>130</v>
      </c>
      <c r="K360" s="4">
        <f t="shared" si="10"/>
        <v>0</v>
      </c>
      <c r="L360" s="4">
        <f t="shared" si="11"/>
        <v>0</v>
      </c>
      <c r="M360" t="s">
        <v>280</v>
      </c>
    </row>
    <row r="361" spans="1:13" ht="16.05" customHeight="1">
      <c r="A361" t="s">
        <v>785</v>
      </c>
      <c r="B361" t="s">
        <v>784</v>
      </c>
      <c r="C361" t="s">
        <v>30</v>
      </c>
      <c r="E361" t="s">
        <v>279</v>
      </c>
      <c r="F361" t="s">
        <v>84</v>
      </c>
      <c r="G361" t="s">
        <v>43</v>
      </c>
      <c r="H361" t="s">
        <v>54</v>
      </c>
      <c r="I361" s="4">
        <f>IFERROR(VLOOKUP(G361,SKU_Cost_Input!$A$2:$E$15,4,FALSE),0)</f>
        <v>0</v>
      </c>
      <c r="J361" s="4">
        <f>IFERROR(VLOOKUP(G361,SKU_Cost_Input!$A$2:$E$15,2,FALSE),0)</f>
        <v>50</v>
      </c>
      <c r="K361" s="4">
        <f t="shared" si="10"/>
        <v>0</v>
      </c>
      <c r="L361" s="4">
        <f t="shared" si="11"/>
        <v>0</v>
      </c>
      <c r="M361" t="s">
        <v>280</v>
      </c>
    </row>
    <row r="362" spans="1:13" ht="16.05" customHeight="1">
      <c r="A362" t="s">
        <v>785</v>
      </c>
      <c r="B362" t="s">
        <v>784</v>
      </c>
      <c r="C362" t="s">
        <v>30</v>
      </c>
      <c r="E362" t="s">
        <v>279</v>
      </c>
      <c r="F362" t="s">
        <v>84</v>
      </c>
      <c r="G362" t="s">
        <v>41</v>
      </c>
      <c r="H362" t="s">
        <v>53</v>
      </c>
      <c r="I362" s="4">
        <f>IFERROR(VLOOKUP(G362,SKU_Cost_Input!$A$2:$E$15,4,FALSE),0)</f>
        <v>0</v>
      </c>
      <c r="J362" s="4">
        <f>IFERROR(VLOOKUP(G362,SKU_Cost_Input!$A$2:$E$15,2,FALSE),0)</f>
        <v>100</v>
      </c>
      <c r="K362" s="4">
        <f t="shared" si="10"/>
        <v>0</v>
      </c>
      <c r="L362" s="4">
        <f t="shared" si="11"/>
        <v>0</v>
      </c>
      <c r="M362" t="s">
        <v>280</v>
      </c>
    </row>
    <row r="363" spans="1:13" ht="16.05" customHeight="1">
      <c r="A363" t="s">
        <v>787</v>
      </c>
      <c r="B363" t="s">
        <v>786</v>
      </c>
      <c r="C363" t="s">
        <v>30</v>
      </c>
      <c r="E363" t="s">
        <v>279</v>
      </c>
      <c r="F363" t="s">
        <v>84</v>
      </c>
      <c r="G363" t="s">
        <v>43</v>
      </c>
      <c r="H363" t="s">
        <v>54</v>
      </c>
      <c r="I363" s="4">
        <f>IFERROR(VLOOKUP(G363,SKU_Cost_Input!$A$2:$E$15,4,FALSE),0)</f>
        <v>0</v>
      </c>
      <c r="J363" s="4">
        <f>IFERROR(VLOOKUP(G363,SKU_Cost_Input!$A$2:$E$15,2,FALSE),0)</f>
        <v>50</v>
      </c>
      <c r="K363" s="4">
        <f t="shared" si="10"/>
        <v>0</v>
      </c>
      <c r="L363" s="4">
        <f t="shared" si="11"/>
        <v>0</v>
      </c>
      <c r="M363" t="s">
        <v>280</v>
      </c>
    </row>
    <row r="364" spans="1:13" ht="16.05" customHeight="1">
      <c r="A364" t="s">
        <v>789</v>
      </c>
      <c r="B364" t="s">
        <v>788</v>
      </c>
      <c r="C364" t="s">
        <v>30</v>
      </c>
      <c r="E364" t="s">
        <v>279</v>
      </c>
      <c r="F364" t="s">
        <v>84</v>
      </c>
      <c r="G364" t="s">
        <v>42</v>
      </c>
      <c r="H364" t="s">
        <v>54</v>
      </c>
      <c r="I364" s="4">
        <f>IFERROR(VLOOKUP(G364,SKU_Cost_Input!$A$2:$E$15,4,FALSE),0)</f>
        <v>0</v>
      </c>
      <c r="J364" s="4">
        <f>IFERROR(VLOOKUP(G364,SKU_Cost_Input!$A$2:$E$15,2,FALSE),0)</f>
        <v>52</v>
      </c>
      <c r="K364" s="4">
        <f t="shared" si="10"/>
        <v>0</v>
      </c>
      <c r="L364" s="4">
        <f t="shared" si="11"/>
        <v>0</v>
      </c>
      <c r="M364" t="s">
        <v>280</v>
      </c>
    </row>
    <row r="365" spans="1:13" ht="16.05" customHeight="1">
      <c r="A365" t="s">
        <v>789</v>
      </c>
      <c r="B365" t="s">
        <v>788</v>
      </c>
      <c r="C365" t="s">
        <v>30</v>
      </c>
      <c r="E365" t="s">
        <v>279</v>
      </c>
      <c r="F365" t="s">
        <v>84</v>
      </c>
      <c r="G365" t="s">
        <v>40</v>
      </c>
      <c r="H365" t="s">
        <v>51</v>
      </c>
      <c r="I365" s="4">
        <f>IFERROR(VLOOKUP(G365,SKU_Cost_Input!$A$2:$E$15,4,FALSE),0)</f>
        <v>0</v>
      </c>
      <c r="J365" s="4">
        <f>IFERROR(VLOOKUP(G365,SKU_Cost_Input!$A$2:$E$15,2,FALSE),0)</f>
        <v>130</v>
      </c>
      <c r="K365" s="4">
        <f t="shared" si="10"/>
        <v>0</v>
      </c>
      <c r="L365" s="4">
        <f t="shared" si="11"/>
        <v>0</v>
      </c>
      <c r="M365" t="s">
        <v>280</v>
      </c>
    </row>
    <row r="366" spans="1:13" ht="16.05" customHeight="1">
      <c r="A366" t="s">
        <v>789</v>
      </c>
      <c r="B366" t="s">
        <v>788</v>
      </c>
      <c r="C366" t="s">
        <v>30</v>
      </c>
      <c r="E366" t="s">
        <v>279</v>
      </c>
      <c r="F366" t="s">
        <v>84</v>
      </c>
      <c r="G366" t="s">
        <v>41</v>
      </c>
      <c r="H366" t="s">
        <v>53</v>
      </c>
      <c r="I366" s="4">
        <f>IFERROR(VLOOKUP(G366,SKU_Cost_Input!$A$2:$E$15,4,FALSE),0)</f>
        <v>0</v>
      </c>
      <c r="J366" s="4">
        <f>IFERROR(VLOOKUP(G366,SKU_Cost_Input!$A$2:$E$15,2,FALSE),0)</f>
        <v>100</v>
      </c>
      <c r="K366" s="4">
        <f t="shared" si="10"/>
        <v>0</v>
      </c>
      <c r="L366" s="4">
        <f t="shared" si="11"/>
        <v>0</v>
      </c>
      <c r="M366" t="s">
        <v>280</v>
      </c>
    </row>
    <row r="367" spans="1:13" ht="16.05" customHeight="1">
      <c r="A367" t="s">
        <v>791</v>
      </c>
      <c r="B367" t="s">
        <v>790</v>
      </c>
      <c r="C367" t="s">
        <v>34</v>
      </c>
      <c r="E367" t="s">
        <v>792</v>
      </c>
      <c r="F367" t="s">
        <v>192</v>
      </c>
      <c r="G367" t="s">
        <v>40</v>
      </c>
      <c r="H367" t="s">
        <v>51</v>
      </c>
      <c r="I367" s="4">
        <f>IFERROR(VLOOKUP(G367,SKU_Cost_Input!$A$2:$E$15,4,FALSE),0)</f>
        <v>0</v>
      </c>
      <c r="J367" s="4">
        <f>IFERROR(VLOOKUP(G367,SKU_Cost_Input!$A$2:$E$15,2,FALSE),0)</f>
        <v>130</v>
      </c>
      <c r="K367" s="4">
        <f t="shared" si="10"/>
        <v>0</v>
      </c>
      <c r="L367" s="4">
        <f t="shared" si="11"/>
        <v>0</v>
      </c>
      <c r="M367" t="s">
        <v>794</v>
      </c>
    </row>
    <row r="368" spans="1:13" ht="16.05" customHeight="1">
      <c r="A368" t="s">
        <v>791</v>
      </c>
      <c r="B368" t="s">
        <v>790</v>
      </c>
      <c r="C368" t="s">
        <v>34</v>
      </c>
      <c r="E368" t="s">
        <v>792</v>
      </c>
      <c r="F368" t="s">
        <v>192</v>
      </c>
      <c r="G368" t="s">
        <v>42</v>
      </c>
      <c r="H368" t="s">
        <v>54</v>
      </c>
      <c r="I368" s="4">
        <f>IFERROR(VLOOKUP(G368,SKU_Cost_Input!$A$2:$E$15,4,FALSE),0)</f>
        <v>0</v>
      </c>
      <c r="J368" s="4">
        <f>IFERROR(VLOOKUP(G368,SKU_Cost_Input!$A$2:$E$15,2,FALSE),0)</f>
        <v>52</v>
      </c>
      <c r="K368" s="4">
        <f t="shared" si="10"/>
        <v>0</v>
      </c>
      <c r="L368" s="4">
        <f t="shared" si="11"/>
        <v>0</v>
      </c>
      <c r="M368" t="s">
        <v>794</v>
      </c>
    </row>
    <row r="369" spans="1:13" ht="16.05" customHeight="1">
      <c r="A369" t="s">
        <v>791</v>
      </c>
      <c r="B369" t="s">
        <v>790</v>
      </c>
      <c r="C369" t="s">
        <v>34</v>
      </c>
      <c r="E369" t="s">
        <v>792</v>
      </c>
      <c r="F369" t="s">
        <v>192</v>
      </c>
      <c r="G369" t="s">
        <v>41</v>
      </c>
      <c r="H369" t="s">
        <v>53</v>
      </c>
      <c r="I369" s="4">
        <f>IFERROR(VLOOKUP(G369,SKU_Cost_Input!$A$2:$E$15,4,FALSE),0)</f>
        <v>0</v>
      </c>
      <c r="J369" s="4">
        <f>IFERROR(VLOOKUP(G369,SKU_Cost_Input!$A$2:$E$15,2,FALSE),0)</f>
        <v>100</v>
      </c>
      <c r="K369" s="4">
        <f t="shared" si="10"/>
        <v>0</v>
      </c>
      <c r="L369" s="4">
        <f t="shared" si="11"/>
        <v>0</v>
      </c>
      <c r="M369" t="s">
        <v>794</v>
      </c>
    </row>
    <row r="370" spans="1:13" ht="16.05" customHeight="1">
      <c r="A370" t="s">
        <v>796</v>
      </c>
      <c r="B370" t="s">
        <v>795</v>
      </c>
      <c r="C370" t="s">
        <v>34</v>
      </c>
      <c r="E370" t="s">
        <v>792</v>
      </c>
      <c r="F370" t="s">
        <v>192</v>
      </c>
      <c r="G370" t="s">
        <v>40</v>
      </c>
      <c r="H370" t="s">
        <v>51</v>
      </c>
      <c r="I370" s="4">
        <f>IFERROR(VLOOKUP(G370,SKU_Cost_Input!$A$2:$E$15,4,FALSE),0)</f>
        <v>0</v>
      </c>
      <c r="J370" s="4">
        <f>IFERROR(VLOOKUP(G370,SKU_Cost_Input!$A$2:$E$15,2,FALSE),0)</f>
        <v>130</v>
      </c>
      <c r="K370" s="4">
        <f t="shared" si="10"/>
        <v>0</v>
      </c>
      <c r="L370" s="4">
        <f t="shared" si="11"/>
        <v>0</v>
      </c>
      <c r="M370" t="s">
        <v>794</v>
      </c>
    </row>
    <row r="371" spans="1:13" ht="16.05" customHeight="1">
      <c r="A371" t="s">
        <v>796</v>
      </c>
      <c r="B371" t="s">
        <v>795</v>
      </c>
      <c r="C371" t="s">
        <v>34</v>
      </c>
      <c r="E371" t="s">
        <v>792</v>
      </c>
      <c r="F371" t="s">
        <v>192</v>
      </c>
      <c r="G371" t="s">
        <v>41</v>
      </c>
      <c r="H371" t="s">
        <v>53</v>
      </c>
      <c r="I371" s="4">
        <f>IFERROR(VLOOKUP(G371,SKU_Cost_Input!$A$2:$E$15,4,FALSE),0)</f>
        <v>0</v>
      </c>
      <c r="J371" s="4">
        <f>IFERROR(VLOOKUP(G371,SKU_Cost_Input!$A$2:$E$15,2,FALSE),0)</f>
        <v>100</v>
      </c>
      <c r="K371" s="4">
        <f t="shared" si="10"/>
        <v>0</v>
      </c>
      <c r="L371" s="4">
        <f t="shared" si="11"/>
        <v>0</v>
      </c>
      <c r="M371" t="s">
        <v>794</v>
      </c>
    </row>
    <row r="372" spans="1:13" ht="16.05" customHeight="1">
      <c r="A372" t="s">
        <v>798</v>
      </c>
      <c r="B372" t="s">
        <v>797</v>
      </c>
      <c r="C372" t="s">
        <v>34</v>
      </c>
      <c r="E372" t="s">
        <v>792</v>
      </c>
      <c r="F372" t="s">
        <v>192</v>
      </c>
      <c r="G372" t="s">
        <v>40</v>
      </c>
      <c r="H372" t="s">
        <v>51</v>
      </c>
      <c r="I372" s="4">
        <f>IFERROR(VLOOKUP(G372,SKU_Cost_Input!$A$2:$E$15,4,FALSE),0)</f>
        <v>0</v>
      </c>
      <c r="J372" s="4">
        <f>IFERROR(VLOOKUP(G372,SKU_Cost_Input!$A$2:$E$15,2,FALSE),0)</f>
        <v>130</v>
      </c>
      <c r="K372" s="4">
        <f t="shared" si="10"/>
        <v>0</v>
      </c>
      <c r="L372" s="4">
        <f t="shared" si="11"/>
        <v>0</v>
      </c>
      <c r="M372" t="s">
        <v>800</v>
      </c>
    </row>
    <row r="373" spans="1:13" ht="16.05" customHeight="1">
      <c r="A373" t="s">
        <v>798</v>
      </c>
      <c r="B373" t="s">
        <v>797</v>
      </c>
      <c r="C373" t="s">
        <v>34</v>
      </c>
      <c r="E373" t="s">
        <v>792</v>
      </c>
      <c r="F373" t="s">
        <v>192</v>
      </c>
      <c r="G373" t="s">
        <v>42</v>
      </c>
      <c r="H373" t="s">
        <v>54</v>
      </c>
      <c r="I373" s="4">
        <f>IFERROR(VLOOKUP(G373,SKU_Cost_Input!$A$2:$E$15,4,FALSE),0)</f>
        <v>0</v>
      </c>
      <c r="J373" s="4">
        <f>IFERROR(VLOOKUP(G373,SKU_Cost_Input!$A$2:$E$15,2,FALSE),0)</f>
        <v>52</v>
      </c>
      <c r="K373" s="4">
        <f t="shared" si="10"/>
        <v>0</v>
      </c>
      <c r="L373" s="4">
        <f t="shared" si="11"/>
        <v>0</v>
      </c>
      <c r="M373" t="s">
        <v>800</v>
      </c>
    </row>
    <row r="374" spans="1:13" ht="16.05" customHeight="1">
      <c r="A374" t="s">
        <v>798</v>
      </c>
      <c r="B374" t="s">
        <v>797</v>
      </c>
      <c r="C374" t="s">
        <v>34</v>
      </c>
      <c r="E374" t="s">
        <v>792</v>
      </c>
      <c r="F374" t="s">
        <v>192</v>
      </c>
      <c r="G374" t="s">
        <v>41</v>
      </c>
      <c r="H374" t="s">
        <v>53</v>
      </c>
      <c r="I374" s="4">
        <f>IFERROR(VLOOKUP(G374,SKU_Cost_Input!$A$2:$E$15,4,FALSE),0)</f>
        <v>0</v>
      </c>
      <c r="J374" s="4">
        <f>IFERROR(VLOOKUP(G374,SKU_Cost_Input!$A$2:$E$15,2,FALSE),0)</f>
        <v>100</v>
      </c>
      <c r="K374" s="4">
        <f t="shared" si="10"/>
        <v>0</v>
      </c>
      <c r="L374" s="4">
        <f t="shared" si="11"/>
        <v>0</v>
      </c>
      <c r="M374" t="s">
        <v>800</v>
      </c>
    </row>
    <row r="375" spans="1:13" ht="16.05" customHeight="1">
      <c r="A375" t="s">
        <v>802</v>
      </c>
      <c r="B375" t="s">
        <v>801</v>
      </c>
      <c r="C375" t="s">
        <v>34</v>
      </c>
      <c r="E375" t="s">
        <v>792</v>
      </c>
      <c r="F375" t="s">
        <v>192</v>
      </c>
      <c r="G375" t="s">
        <v>43</v>
      </c>
      <c r="H375" t="s">
        <v>54</v>
      </c>
      <c r="I375" s="4">
        <f>IFERROR(VLOOKUP(G375,SKU_Cost_Input!$A$2:$E$15,4,FALSE),0)</f>
        <v>0</v>
      </c>
      <c r="J375" s="4">
        <f>IFERROR(VLOOKUP(G375,SKU_Cost_Input!$A$2:$E$15,2,FALSE),0)</f>
        <v>50</v>
      </c>
      <c r="K375" s="4">
        <f t="shared" si="10"/>
        <v>0</v>
      </c>
      <c r="L375" s="4">
        <f t="shared" si="11"/>
        <v>0</v>
      </c>
      <c r="M375" t="s">
        <v>794</v>
      </c>
    </row>
    <row r="376" spans="1:13" ht="16.05" customHeight="1">
      <c r="A376" t="s">
        <v>802</v>
      </c>
      <c r="B376" t="s">
        <v>801</v>
      </c>
      <c r="C376" t="s">
        <v>34</v>
      </c>
      <c r="E376" t="s">
        <v>792</v>
      </c>
      <c r="F376" t="s">
        <v>192</v>
      </c>
      <c r="G376" t="s">
        <v>42</v>
      </c>
      <c r="H376" t="s">
        <v>54</v>
      </c>
      <c r="I376" s="4">
        <f>IFERROR(VLOOKUP(G376,SKU_Cost_Input!$A$2:$E$15,4,FALSE),0)</f>
        <v>0</v>
      </c>
      <c r="J376" s="4">
        <f>IFERROR(VLOOKUP(G376,SKU_Cost_Input!$A$2:$E$15,2,FALSE),0)</f>
        <v>52</v>
      </c>
      <c r="K376" s="4">
        <f t="shared" si="10"/>
        <v>0</v>
      </c>
      <c r="L376" s="4">
        <f t="shared" si="11"/>
        <v>0</v>
      </c>
      <c r="M376" t="s">
        <v>794</v>
      </c>
    </row>
    <row r="377" spans="1:13" ht="16.05" customHeight="1">
      <c r="A377" t="s">
        <v>805</v>
      </c>
      <c r="B377" t="s">
        <v>804</v>
      </c>
      <c r="C377" t="s">
        <v>34</v>
      </c>
      <c r="E377" t="s">
        <v>792</v>
      </c>
      <c r="F377" t="s">
        <v>192</v>
      </c>
      <c r="G377" t="s">
        <v>43</v>
      </c>
      <c r="H377" t="s">
        <v>54</v>
      </c>
      <c r="I377" s="4">
        <f>IFERROR(VLOOKUP(G377,SKU_Cost_Input!$A$2:$E$15,4,FALSE),0)</f>
        <v>0</v>
      </c>
      <c r="J377" s="4">
        <f>IFERROR(VLOOKUP(G377,SKU_Cost_Input!$A$2:$E$15,2,FALSE),0)</f>
        <v>50</v>
      </c>
      <c r="K377" s="4">
        <f t="shared" si="10"/>
        <v>0</v>
      </c>
      <c r="L377" s="4">
        <f t="shared" si="11"/>
        <v>0</v>
      </c>
      <c r="M377" t="s">
        <v>794</v>
      </c>
    </row>
    <row r="378" spans="1:13" ht="16.05" customHeight="1">
      <c r="A378" t="s">
        <v>807</v>
      </c>
      <c r="B378" t="s">
        <v>806</v>
      </c>
      <c r="C378" t="s">
        <v>34</v>
      </c>
      <c r="E378" t="s">
        <v>792</v>
      </c>
      <c r="F378" t="s">
        <v>192</v>
      </c>
      <c r="G378" t="s">
        <v>40</v>
      </c>
      <c r="H378" t="s">
        <v>51</v>
      </c>
      <c r="I378" s="4">
        <f>IFERROR(VLOOKUP(G378,SKU_Cost_Input!$A$2:$E$15,4,FALSE),0)</f>
        <v>0</v>
      </c>
      <c r="J378" s="4">
        <f>IFERROR(VLOOKUP(G378,SKU_Cost_Input!$A$2:$E$15,2,FALSE),0)</f>
        <v>130</v>
      </c>
      <c r="K378" s="4">
        <f t="shared" si="10"/>
        <v>0</v>
      </c>
      <c r="L378" s="4">
        <f t="shared" si="11"/>
        <v>0</v>
      </c>
      <c r="M378" t="s">
        <v>794</v>
      </c>
    </row>
    <row r="379" spans="1:13" ht="16.05" customHeight="1">
      <c r="A379" t="s">
        <v>807</v>
      </c>
      <c r="B379" t="s">
        <v>806</v>
      </c>
      <c r="C379" t="s">
        <v>34</v>
      </c>
      <c r="E379" t="s">
        <v>792</v>
      </c>
      <c r="F379" t="s">
        <v>192</v>
      </c>
      <c r="G379" t="s">
        <v>41</v>
      </c>
      <c r="H379" t="s">
        <v>53</v>
      </c>
      <c r="I379" s="4">
        <f>IFERROR(VLOOKUP(G379,SKU_Cost_Input!$A$2:$E$15,4,FALSE),0)</f>
        <v>0</v>
      </c>
      <c r="J379" s="4">
        <f>IFERROR(VLOOKUP(G379,SKU_Cost_Input!$A$2:$E$15,2,FALSE),0)</f>
        <v>100</v>
      </c>
      <c r="K379" s="4">
        <f t="shared" si="10"/>
        <v>0</v>
      </c>
      <c r="L379" s="4">
        <f t="shared" si="11"/>
        <v>0</v>
      </c>
      <c r="M379" t="s">
        <v>794</v>
      </c>
    </row>
    <row r="380" spans="1:13" ht="16.05" customHeight="1">
      <c r="A380" t="s">
        <v>809</v>
      </c>
      <c r="B380" t="s">
        <v>808</v>
      </c>
      <c r="C380" t="s">
        <v>34</v>
      </c>
      <c r="E380" t="s">
        <v>792</v>
      </c>
      <c r="F380" t="s">
        <v>192</v>
      </c>
      <c r="G380" t="s">
        <v>40</v>
      </c>
      <c r="H380" t="s">
        <v>51</v>
      </c>
      <c r="I380" s="4">
        <f>IFERROR(VLOOKUP(G380,SKU_Cost_Input!$A$2:$E$15,4,FALSE),0)</f>
        <v>0</v>
      </c>
      <c r="J380" s="4">
        <f>IFERROR(VLOOKUP(G380,SKU_Cost_Input!$A$2:$E$15,2,FALSE),0)</f>
        <v>130</v>
      </c>
      <c r="K380" s="4">
        <f t="shared" si="10"/>
        <v>0</v>
      </c>
      <c r="L380" s="4">
        <f t="shared" si="11"/>
        <v>0</v>
      </c>
      <c r="M380" t="s">
        <v>794</v>
      </c>
    </row>
    <row r="381" spans="1:13" ht="16.05" customHeight="1">
      <c r="A381" t="s">
        <v>809</v>
      </c>
      <c r="B381" t="s">
        <v>808</v>
      </c>
      <c r="C381" t="s">
        <v>34</v>
      </c>
      <c r="E381" t="s">
        <v>792</v>
      </c>
      <c r="F381" t="s">
        <v>192</v>
      </c>
      <c r="G381" t="s">
        <v>43</v>
      </c>
      <c r="H381" t="s">
        <v>54</v>
      </c>
      <c r="I381" s="4">
        <f>IFERROR(VLOOKUP(G381,SKU_Cost_Input!$A$2:$E$15,4,FALSE),0)</f>
        <v>0</v>
      </c>
      <c r="J381" s="4">
        <f>IFERROR(VLOOKUP(G381,SKU_Cost_Input!$A$2:$E$15,2,FALSE),0)</f>
        <v>50</v>
      </c>
      <c r="K381" s="4">
        <f t="shared" si="10"/>
        <v>0</v>
      </c>
      <c r="L381" s="4">
        <f t="shared" si="11"/>
        <v>0</v>
      </c>
      <c r="M381" t="s">
        <v>794</v>
      </c>
    </row>
    <row r="382" spans="1:13" ht="16.05" customHeight="1">
      <c r="A382" t="s">
        <v>809</v>
      </c>
      <c r="B382" t="s">
        <v>808</v>
      </c>
      <c r="C382" t="s">
        <v>34</v>
      </c>
      <c r="E382" t="s">
        <v>792</v>
      </c>
      <c r="F382" t="s">
        <v>192</v>
      </c>
      <c r="G382" t="s">
        <v>41</v>
      </c>
      <c r="H382" t="s">
        <v>53</v>
      </c>
      <c r="I382" s="4">
        <f>IFERROR(VLOOKUP(G382,SKU_Cost_Input!$A$2:$E$15,4,FALSE),0)</f>
        <v>0</v>
      </c>
      <c r="J382" s="4">
        <f>IFERROR(VLOOKUP(G382,SKU_Cost_Input!$A$2:$E$15,2,FALSE),0)</f>
        <v>100</v>
      </c>
      <c r="K382" s="4">
        <f t="shared" si="10"/>
        <v>0</v>
      </c>
      <c r="L382" s="4">
        <f t="shared" si="11"/>
        <v>0</v>
      </c>
      <c r="M382" t="s">
        <v>794</v>
      </c>
    </row>
    <row r="383" spans="1:13" ht="16.05" customHeight="1">
      <c r="A383" t="s">
        <v>811</v>
      </c>
      <c r="B383" t="s">
        <v>810</v>
      </c>
      <c r="C383" t="s">
        <v>34</v>
      </c>
      <c r="E383" t="s">
        <v>792</v>
      </c>
      <c r="F383" t="s">
        <v>192</v>
      </c>
      <c r="G383" t="s">
        <v>40</v>
      </c>
      <c r="H383" t="s">
        <v>51</v>
      </c>
      <c r="I383" s="4">
        <f>IFERROR(VLOOKUP(G383,SKU_Cost_Input!$A$2:$E$15,4,FALSE),0)</f>
        <v>0</v>
      </c>
      <c r="J383" s="4">
        <f>IFERROR(VLOOKUP(G383,SKU_Cost_Input!$A$2:$E$15,2,FALSE),0)</f>
        <v>130</v>
      </c>
      <c r="K383" s="4">
        <f t="shared" si="10"/>
        <v>0</v>
      </c>
      <c r="L383" s="4">
        <f t="shared" si="11"/>
        <v>0</v>
      </c>
      <c r="M383" t="s">
        <v>794</v>
      </c>
    </row>
    <row r="384" spans="1:13" ht="16.05" customHeight="1">
      <c r="A384" t="s">
        <v>811</v>
      </c>
      <c r="B384" t="s">
        <v>810</v>
      </c>
      <c r="C384" t="s">
        <v>34</v>
      </c>
      <c r="E384" t="s">
        <v>792</v>
      </c>
      <c r="F384" t="s">
        <v>192</v>
      </c>
      <c r="G384" t="s">
        <v>41</v>
      </c>
      <c r="H384" t="s">
        <v>53</v>
      </c>
      <c r="I384" s="4">
        <f>IFERROR(VLOOKUP(G384,SKU_Cost_Input!$A$2:$E$15,4,FALSE),0)</f>
        <v>0</v>
      </c>
      <c r="J384" s="4">
        <f>IFERROR(VLOOKUP(G384,SKU_Cost_Input!$A$2:$E$15,2,FALSE),0)</f>
        <v>100</v>
      </c>
      <c r="K384" s="4">
        <f t="shared" si="10"/>
        <v>0</v>
      </c>
      <c r="L384" s="4">
        <f t="shared" si="11"/>
        <v>0</v>
      </c>
      <c r="M384" t="s">
        <v>794</v>
      </c>
    </row>
    <row r="385" spans="1:13" ht="16.05" customHeight="1">
      <c r="A385" t="s">
        <v>813</v>
      </c>
      <c r="B385" t="s">
        <v>812</v>
      </c>
      <c r="C385" t="s">
        <v>34</v>
      </c>
      <c r="E385" t="s">
        <v>792</v>
      </c>
      <c r="F385" t="s">
        <v>192</v>
      </c>
      <c r="G385" t="s">
        <v>43</v>
      </c>
      <c r="H385" t="s">
        <v>54</v>
      </c>
      <c r="I385" s="4">
        <f>IFERROR(VLOOKUP(G385,SKU_Cost_Input!$A$2:$E$15,4,FALSE),0)</f>
        <v>0</v>
      </c>
      <c r="J385" s="4">
        <f>IFERROR(VLOOKUP(G385,SKU_Cost_Input!$A$2:$E$15,2,FALSE),0)</f>
        <v>50</v>
      </c>
      <c r="K385" s="4">
        <f t="shared" si="10"/>
        <v>0</v>
      </c>
      <c r="L385" s="4">
        <f t="shared" si="11"/>
        <v>0</v>
      </c>
      <c r="M385" t="s">
        <v>814</v>
      </c>
    </row>
    <row r="386" spans="1:13" ht="16.05" customHeight="1">
      <c r="A386" t="s">
        <v>813</v>
      </c>
      <c r="B386" t="s">
        <v>812</v>
      </c>
      <c r="C386" t="s">
        <v>34</v>
      </c>
      <c r="E386" t="s">
        <v>792</v>
      </c>
      <c r="F386" t="s">
        <v>192</v>
      </c>
      <c r="G386" t="s">
        <v>42</v>
      </c>
      <c r="H386" t="s">
        <v>54</v>
      </c>
      <c r="I386" s="4">
        <f>IFERROR(VLOOKUP(G386,SKU_Cost_Input!$A$2:$E$15,4,FALSE),0)</f>
        <v>0</v>
      </c>
      <c r="J386" s="4">
        <f>IFERROR(VLOOKUP(G386,SKU_Cost_Input!$A$2:$E$15,2,FALSE),0)</f>
        <v>52</v>
      </c>
      <c r="K386" s="4">
        <f t="shared" ref="K386:K449" si="12">IF(J386=0,0,I386/J386)</f>
        <v>0</v>
      </c>
      <c r="L386" s="4">
        <f t="shared" ref="L386:L449" si="13">K386</f>
        <v>0</v>
      </c>
      <c r="M386" t="s">
        <v>814</v>
      </c>
    </row>
    <row r="387" spans="1:13" ht="16.05" customHeight="1">
      <c r="A387" t="s">
        <v>816</v>
      </c>
      <c r="B387" t="s">
        <v>815</v>
      </c>
      <c r="C387" t="s">
        <v>34</v>
      </c>
      <c r="E387" t="s">
        <v>792</v>
      </c>
      <c r="F387" t="s">
        <v>192</v>
      </c>
      <c r="G387" t="s">
        <v>44</v>
      </c>
      <c r="H387" t="s">
        <v>53</v>
      </c>
      <c r="I387" s="4">
        <f>IFERROR(VLOOKUP(G387,SKU_Cost_Input!$A$2:$E$15,4,FALSE),0)</f>
        <v>0</v>
      </c>
      <c r="J387" s="4">
        <f>IFERROR(VLOOKUP(G387,SKU_Cost_Input!$A$2:$E$15,2,FALSE),0)</f>
        <v>21</v>
      </c>
      <c r="K387" s="4">
        <f t="shared" si="12"/>
        <v>0</v>
      </c>
      <c r="L387" s="4">
        <f t="shared" si="13"/>
        <v>0</v>
      </c>
      <c r="M387" t="s">
        <v>794</v>
      </c>
    </row>
    <row r="388" spans="1:13" ht="16.05" customHeight="1">
      <c r="A388" t="s">
        <v>816</v>
      </c>
      <c r="B388" t="s">
        <v>815</v>
      </c>
      <c r="C388" t="s">
        <v>34</v>
      </c>
      <c r="E388" t="s">
        <v>792</v>
      </c>
      <c r="F388" t="s">
        <v>192</v>
      </c>
      <c r="G388" t="s">
        <v>40</v>
      </c>
      <c r="H388" t="s">
        <v>51</v>
      </c>
      <c r="I388" s="4">
        <f>IFERROR(VLOOKUP(G388,SKU_Cost_Input!$A$2:$E$15,4,FALSE),0)</f>
        <v>0</v>
      </c>
      <c r="J388" s="4">
        <f>IFERROR(VLOOKUP(G388,SKU_Cost_Input!$A$2:$E$15,2,FALSE),0)</f>
        <v>130</v>
      </c>
      <c r="K388" s="4">
        <f t="shared" si="12"/>
        <v>0</v>
      </c>
      <c r="L388" s="4">
        <f t="shared" si="13"/>
        <v>0</v>
      </c>
      <c r="M388" t="s">
        <v>794</v>
      </c>
    </row>
    <row r="389" spans="1:13" ht="16.05" customHeight="1">
      <c r="A389" t="s">
        <v>816</v>
      </c>
      <c r="B389" t="s">
        <v>815</v>
      </c>
      <c r="C389" t="s">
        <v>34</v>
      </c>
      <c r="E389" t="s">
        <v>792</v>
      </c>
      <c r="F389" t="s">
        <v>192</v>
      </c>
      <c r="G389" t="s">
        <v>43</v>
      </c>
      <c r="H389" t="s">
        <v>54</v>
      </c>
      <c r="I389" s="4">
        <f>IFERROR(VLOOKUP(G389,SKU_Cost_Input!$A$2:$E$15,4,FALSE),0)</f>
        <v>0</v>
      </c>
      <c r="J389" s="4">
        <f>IFERROR(VLOOKUP(G389,SKU_Cost_Input!$A$2:$E$15,2,FALSE),0)</f>
        <v>50</v>
      </c>
      <c r="K389" s="4">
        <f t="shared" si="12"/>
        <v>0</v>
      </c>
      <c r="L389" s="4">
        <f t="shared" si="13"/>
        <v>0</v>
      </c>
      <c r="M389" t="s">
        <v>794</v>
      </c>
    </row>
    <row r="390" spans="1:13" ht="16.05" customHeight="1">
      <c r="A390" t="s">
        <v>818</v>
      </c>
      <c r="B390" t="s">
        <v>817</v>
      </c>
      <c r="C390" t="s">
        <v>34</v>
      </c>
      <c r="E390" t="s">
        <v>792</v>
      </c>
      <c r="F390" t="s">
        <v>192</v>
      </c>
      <c r="G390" t="s">
        <v>40</v>
      </c>
      <c r="H390" t="s">
        <v>51</v>
      </c>
      <c r="I390" s="4">
        <f>IFERROR(VLOOKUP(G390,SKU_Cost_Input!$A$2:$E$15,4,FALSE),0)</f>
        <v>0</v>
      </c>
      <c r="J390" s="4">
        <f>IFERROR(VLOOKUP(G390,SKU_Cost_Input!$A$2:$E$15,2,FALSE),0)</f>
        <v>130</v>
      </c>
      <c r="K390" s="4">
        <f t="shared" si="12"/>
        <v>0</v>
      </c>
      <c r="L390" s="4">
        <f t="shared" si="13"/>
        <v>0</v>
      </c>
      <c r="M390" t="s">
        <v>794</v>
      </c>
    </row>
    <row r="391" spans="1:13" ht="16.05" customHeight="1">
      <c r="A391" t="s">
        <v>818</v>
      </c>
      <c r="B391" t="s">
        <v>817</v>
      </c>
      <c r="C391" t="s">
        <v>34</v>
      </c>
      <c r="E391" t="s">
        <v>792</v>
      </c>
      <c r="F391" t="s">
        <v>192</v>
      </c>
      <c r="G391" t="s">
        <v>41</v>
      </c>
      <c r="H391" t="s">
        <v>53</v>
      </c>
      <c r="I391" s="4">
        <f>IFERROR(VLOOKUP(G391,SKU_Cost_Input!$A$2:$E$15,4,FALSE),0)</f>
        <v>0</v>
      </c>
      <c r="J391" s="4">
        <f>IFERROR(VLOOKUP(G391,SKU_Cost_Input!$A$2:$E$15,2,FALSE),0)</f>
        <v>100</v>
      </c>
      <c r="K391" s="4">
        <f t="shared" si="12"/>
        <v>0</v>
      </c>
      <c r="L391" s="4">
        <f t="shared" si="13"/>
        <v>0</v>
      </c>
      <c r="M391" t="s">
        <v>794</v>
      </c>
    </row>
    <row r="392" spans="1:13" ht="16.05" customHeight="1">
      <c r="A392" t="s">
        <v>820</v>
      </c>
      <c r="B392" t="s">
        <v>819</v>
      </c>
      <c r="C392" t="s">
        <v>34</v>
      </c>
      <c r="E392" t="s">
        <v>792</v>
      </c>
      <c r="F392" t="s">
        <v>192</v>
      </c>
      <c r="G392" t="s">
        <v>40</v>
      </c>
      <c r="H392" t="s">
        <v>51</v>
      </c>
      <c r="I392" s="4">
        <f>IFERROR(VLOOKUP(G392,SKU_Cost_Input!$A$2:$E$15,4,FALSE),0)</f>
        <v>0</v>
      </c>
      <c r="J392" s="4">
        <f>IFERROR(VLOOKUP(G392,SKU_Cost_Input!$A$2:$E$15,2,FALSE),0)</f>
        <v>130</v>
      </c>
      <c r="K392" s="4">
        <f t="shared" si="12"/>
        <v>0</v>
      </c>
      <c r="L392" s="4">
        <f t="shared" si="13"/>
        <v>0</v>
      </c>
      <c r="M392" t="s">
        <v>794</v>
      </c>
    </row>
    <row r="393" spans="1:13" ht="16.05" customHeight="1">
      <c r="A393" t="s">
        <v>820</v>
      </c>
      <c r="B393" t="s">
        <v>819</v>
      </c>
      <c r="C393" t="s">
        <v>34</v>
      </c>
      <c r="E393" t="s">
        <v>792</v>
      </c>
      <c r="F393" t="s">
        <v>192</v>
      </c>
      <c r="G393" t="s">
        <v>45</v>
      </c>
      <c r="H393" t="s">
        <v>53</v>
      </c>
      <c r="I393" s="4">
        <f>IFERROR(VLOOKUP(G393,SKU_Cost_Input!$A$2:$E$15,4,FALSE),0)</f>
        <v>0</v>
      </c>
      <c r="J393" s="4">
        <f>IFERROR(VLOOKUP(G393,SKU_Cost_Input!$A$2:$E$15,2,FALSE),0)</f>
        <v>14</v>
      </c>
      <c r="K393" s="4">
        <f t="shared" si="12"/>
        <v>0</v>
      </c>
      <c r="L393" s="4">
        <f t="shared" si="13"/>
        <v>0</v>
      </c>
      <c r="M393" t="s">
        <v>794</v>
      </c>
    </row>
    <row r="394" spans="1:13" ht="16.05" customHeight="1">
      <c r="A394" t="s">
        <v>820</v>
      </c>
      <c r="B394" t="s">
        <v>819</v>
      </c>
      <c r="C394" t="s">
        <v>34</v>
      </c>
      <c r="E394" t="s">
        <v>792</v>
      </c>
      <c r="F394" t="s">
        <v>192</v>
      </c>
      <c r="G394" t="s">
        <v>43</v>
      </c>
      <c r="H394" t="s">
        <v>54</v>
      </c>
      <c r="I394" s="4">
        <f>IFERROR(VLOOKUP(G394,SKU_Cost_Input!$A$2:$E$15,4,FALSE),0)</f>
        <v>0</v>
      </c>
      <c r="J394" s="4">
        <f>IFERROR(VLOOKUP(G394,SKU_Cost_Input!$A$2:$E$15,2,FALSE),0)</f>
        <v>50</v>
      </c>
      <c r="K394" s="4">
        <f t="shared" si="12"/>
        <v>0</v>
      </c>
      <c r="L394" s="4">
        <f t="shared" si="13"/>
        <v>0</v>
      </c>
      <c r="M394" t="s">
        <v>794</v>
      </c>
    </row>
    <row r="395" spans="1:13" ht="16.05" customHeight="1">
      <c r="A395" t="s">
        <v>823</v>
      </c>
      <c r="B395" t="s">
        <v>822</v>
      </c>
      <c r="C395" t="s">
        <v>34</v>
      </c>
      <c r="E395" t="s">
        <v>792</v>
      </c>
      <c r="F395" t="s">
        <v>192</v>
      </c>
      <c r="G395" t="s">
        <v>43</v>
      </c>
      <c r="H395" t="s">
        <v>54</v>
      </c>
      <c r="I395" s="4">
        <f>IFERROR(VLOOKUP(G395,SKU_Cost_Input!$A$2:$E$15,4,FALSE),0)</f>
        <v>0</v>
      </c>
      <c r="J395" s="4">
        <f>IFERROR(VLOOKUP(G395,SKU_Cost_Input!$A$2:$E$15,2,FALSE),0)</f>
        <v>50</v>
      </c>
      <c r="K395" s="4">
        <f t="shared" si="12"/>
        <v>0</v>
      </c>
      <c r="L395" s="4">
        <f t="shared" si="13"/>
        <v>0</v>
      </c>
      <c r="M395" t="s">
        <v>794</v>
      </c>
    </row>
    <row r="396" spans="1:13" ht="16.05" customHeight="1">
      <c r="A396" t="s">
        <v>825</v>
      </c>
      <c r="B396" t="s">
        <v>824</v>
      </c>
      <c r="C396" t="s">
        <v>34</v>
      </c>
      <c r="E396" t="s">
        <v>792</v>
      </c>
      <c r="F396" t="s">
        <v>192</v>
      </c>
      <c r="G396" t="s">
        <v>40</v>
      </c>
      <c r="H396" t="s">
        <v>51</v>
      </c>
      <c r="I396" s="4">
        <f>IFERROR(VLOOKUP(G396,SKU_Cost_Input!$A$2:$E$15,4,FALSE),0)</f>
        <v>0</v>
      </c>
      <c r="J396" s="4">
        <f>IFERROR(VLOOKUP(G396,SKU_Cost_Input!$A$2:$E$15,2,FALSE),0)</f>
        <v>130</v>
      </c>
      <c r="K396" s="4">
        <f t="shared" si="12"/>
        <v>0</v>
      </c>
      <c r="L396" s="4">
        <f t="shared" si="13"/>
        <v>0</v>
      </c>
      <c r="M396" t="s">
        <v>794</v>
      </c>
    </row>
    <row r="397" spans="1:13" ht="16.05" customHeight="1">
      <c r="A397" t="s">
        <v>825</v>
      </c>
      <c r="B397" t="s">
        <v>824</v>
      </c>
      <c r="C397" t="s">
        <v>34</v>
      </c>
      <c r="E397" t="s">
        <v>792</v>
      </c>
      <c r="F397" t="s">
        <v>192</v>
      </c>
      <c r="G397" t="s">
        <v>58</v>
      </c>
      <c r="H397" t="s">
        <v>53</v>
      </c>
      <c r="I397" s="4">
        <f>IFERROR(VLOOKUP(G397,SKU_Cost_Input!$A$2:$E$15,4,FALSE),0)</f>
        <v>0</v>
      </c>
      <c r="J397" s="4">
        <f>IFERROR(VLOOKUP(G397,SKU_Cost_Input!$A$2:$E$15,2,FALSE),0)</f>
        <v>6</v>
      </c>
      <c r="K397" s="4">
        <f t="shared" si="12"/>
        <v>0</v>
      </c>
      <c r="L397" s="4">
        <f t="shared" si="13"/>
        <v>0</v>
      </c>
      <c r="M397" t="s">
        <v>794</v>
      </c>
    </row>
    <row r="398" spans="1:13" ht="16.05" customHeight="1">
      <c r="A398" t="s">
        <v>825</v>
      </c>
      <c r="B398" t="s">
        <v>824</v>
      </c>
      <c r="C398" t="s">
        <v>34</v>
      </c>
      <c r="E398" t="s">
        <v>792</v>
      </c>
      <c r="F398" t="s">
        <v>192</v>
      </c>
      <c r="G398" t="s">
        <v>45</v>
      </c>
      <c r="H398" t="s">
        <v>53</v>
      </c>
      <c r="I398" s="4">
        <f>IFERROR(VLOOKUP(G398,SKU_Cost_Input!$A$2:$E$15,4,FALSE),0)</f>
        <v>0</v>
      </c>
      <c r="J398" s="4">
        <f>IFERROR(VLOOKUP(G398,SKU_Cost_Input!$A$2:$E$15,2,FALSE),0)</f>
        <v>14</v>
      </c>
      <c r="K398" s="4">
        <f t="shared" si="12"/>
        <v>0</v>
      </c>
      <c r="L398" s="4">
        <f t="shared" si="13"/>
        <v>0</v>
      </c>
      <c r="M398" t="s">
        <v>794</v>
      </c>
    </row>
    <row r="399" spans="1:13" ht="16.05" customHeight="1">
      <c r="A399" t="s">
        <v>825</v>
      </c>
      <c r="B399" t="s">
        <v>824</v>
      </c>
      <c r="C399" t="s">
        <v>34</v>
      </c>
      <c r="E399" t="s">
        <v>792</v>
      </c>
      <c r="F399" t="s">
        <v>192</v>
      </c>
      <c r="G399" t="s">
        <v>43</v>
      </c>
      <c r="H399" t="s">
        <v>54</v>
      </c>
      <c r="I399" s="4">
        <f>IFERROR(VLOOKUP(G399,SKU_Cost_Input!$A$2:$E$15,4,FALSE),0)</f>
        <v>0</v>
      </c>
      <c r="J399" s="4">
        <f>IFERROR(VLOOKUP(G399,SKU_Cost_Input!$A$2:$E$15,2,FALSE),0)</f>
        <v>50</v>
      </c>
      <c r="K399" s="4">
        <f t="shared" si="12"/>
        <v>0</v>
      </c>
      <c r="L399" s="4">
        <f t="shared" si="13"/>
        <v>0</v>
      </c>
      <c r="M399" t="s">
        <v>794</v>
      </c>
    </row>
    <row r="400" spans="1:13" ht="16.05" customHeight="1">
      <c r="A400" t="s">
        <v>825</v>
      </c>
      <c r="B400" t="s">
        <v>824</v>
      </c>
      <c r="C400" t="s">
        <v>34</v>
      </c>
      <c r="E400" t="s">
        <v>792</v>
      </c>
      <c r="F400" t="s">
        <v>192</v>
      </c>
      <c r="G400" t="s">
        <v>42</v>
      </c>
      <c r="H400" t="s">
        <v>54</v>
      </c>
      <c r="I400" s="4">
        <f>IFERROR(VLOOKUP(G400,SKU_Cost_Input!$A$2:$E$15,4,FALSE),0)</f>
        <v>0</v>
      </c>
      <c r="J400" s="4">
        <f>IFERROR(VLOOKUP(G400,SKU_Cost_Input!$A$2:$E$15,2,FALSE),0)</f>
        <v>52</v>
      </c>
      <c r="K400" s="4">
        <f t="shared" si="12"/>
        <v>0</v>
      </c>
      <c r="L400" s="4">
        <f t="shared" si="13"/>
        <v>0</v>
      </c>
      <c r="M400" t="s">
        <v>794</v>
      </c>
    </row>
    <row r="401" spans="1:13" ht="16.05" customHeight="1">
      <c r="A401" t="s">
        <v>827</v>
      </c>
      <c r="B401" t="s">
        <v>826</v>
      </c>
      <c r="C401" t="s">
        <v>34</v>
      </c>
      <c r="E401" t="s">
        <v>792</v>
      </c>
      <c r="F401" t="s">
        <v>192</v>
      </c>
      <c r="G401" t="s">
        <v>41</v>
      </c>
      <c r="H401" t="s">
        <v>53</v>
      </c>
      <c r="I401" s="4">
        <f>IFERROR(VLOOKUP(G401,SKU_Cost_Input!$A$2:$E$15,4,FALSE),0)</f>
        <v>0</v>
      </c>
      <c r="J401" s="4">
        <f>IFERROR(VLOOKUP(G401,SKU_Cost_Input!$A$2:$E$15,2,FALSE),0)</f>
        <v>100</v>
      </c>
      <c r="K401" s="4">
        <f t="shared" si="12"/>
        <v>0</v>
      </c>
      <c r="L401" s="4">
        <f t="shared" si="13"/>
        <v>0</v>
      </c>
      <c r="M401" t="s">
        <v>794</v>
      </c>
    </row>
    <row r="402" spans="1:13" ht="16.05" customHeight="1">
      <c r="A402" t="s">
        <v>829</v>
      </c>
      <c r="B402" t="s">
        <v>828</v>
      </c>
      <c r="C402" t="s">
        <v>34</v>
      </c>
      <c r="E402" t="s">
        <v>792</v>
      </c>
      <c r="F402" t="s">
        <v>192</v>
      </c>
      <c r="G402" t="s">
        <v>41</v>
      </c>
      <c r="H402" t="s">
        <v>53</v>
      </c>
      <c r="I402" s="4">
        <f>IFERROR(VLOOKUP(G402,SKU_Cost_Input!$A$2:$E$15,4,FALSE),0)</f>
        <v>0</v>
      </c>
      <c r="J402" s="4">
        <f>IFERROR(VLOOKUP(G402,SKU_Cost_Input!$A$2:$E$15,2,FALSE),0)</f>
        <v>100</v>
      </c>
      <c r="K402" s="4">
        <f t="shared" si="12"/>
        <v>0</v>
      </c>
      <c r="L402" s="4">
        <f t="shared" si="13"/>
        <v>0</v>
      </c>
      <c r="M402" t="s">
        <v>794</v>
      </c>
    </row>
    <row r="403" spans="1:13" ht="16.05" customHeight="1">
      <c r="A403" t="s">
        <v>829</v>
      </c>
      <c r="B403" t="s">
        <v>828</v>
      </c>
      <c r="C403" t="s">
        <v>34</v>
      </c>
      <c r="E403" t="s">
        <v>792</v>
      </c>
      <c r="F403" t="s">
        <v>192</v>
      </c>
      <c r="G403" t="s">
        <v>40</v>
      </c>
      <c r="H403" t="s">
        <v>51</v>
      </c>
      <c r="I403" s="4">
        <f>IFERROR(VLOOKUP(G403,SKU_Cost_Input!$A$2:$E$15,4,FALSE),0)</f>
        <v>0</v>
      </c>
      <c r="J403" s="4">
        <f>IFERROR(VLOOKUP(G403,SKU_Cost_Input!$A$2:$E$15,2,FALSE),0)</f>
        <v>130</v>
      </c>
      <c r="K403" s="4">
        <f t="shared" si="12"/>
        <v>0</v>
      </c>
      <c r="L403" s="4">
        <f t="shared" si="13"/>
        <v>0</v>
      </c>
      <c r="M403" t="s">
        <v>794</v>
      </c>
    </row>
    <row r="404" spans="1:13" ht="16.05" customHeight="1">
      <c r="A404" t="s">
        <v>831</v>
      </c>
      <c r="B404" t="s">
        <v>830</v>
      </c>
      <c r="C404" t="s">
        <v>34</v>
      </c>
      <c r="E404" t="s">
        <v>792</v>
      </c>
      <c r="F404" t="s">
        <v>192</v>
      </c>
      <c r="G404" t="s">
        <v>40</v>
      </c>
      <c r="H404" t="s">
        <v>51</v>
      </c>
      <c r="I404" s="4">
        <f>IFERROR(VLOOKUP(G404,SKU_Cost_Input!$A$2:$E$15,4,FALSE),0)</f>
        <v>0</v>
      </c>
      <c r="J404" s="4">
        <f>IFERROR(VLOOKUP(G404,SKU_Cost_Input!$A$2:$E$15,2,FALSE),0)</f>
        <v>130</v>
      </c>
      <c r="K404" s="4">
        <f t="shared" si="12"/>
        <v>0</v>
      </c>
      <c r="L404" s="4">
        <f t="shared" si="13"/>
        <v>0</v>
      </c>
      <c r="M404" t="s">
        <v>794</v>
      </c>
    </row>
    <row r="405" spans="1:13" ht="16.05" customHeight="1">
      <c r="A405" t="s">
        <v>831</v>
      </c>
      <c r="B405" t="s">
        <v>830</v>
      </c>
      <c r="C405" t="s">
        <v>34</v>
      </c>
      <c r="E405" t="s">
        <v>792</v>
      </c>
      <c r="F405" t="s">
        <v>192</v>
      </c>
      <c r="G405" t="s">
        <v>41</v>
      </c>
      <c r="H405" t="s">
        <v>53</v>
      </c>
      <c r="I405" s="4">
        <f>IFERROR(VLOOKUP(G405,SKU_Cost_Input!$A$2:$E$15,4,FALSE),0)</f>
        <v>0</v>
      </c>
      <c r="J405" s="4">
        <f>IFERROR(VLOOKUP(G405,SKU_Cost_Input!$A$2:$E$15,2,FALSE),0)</f>
        <v>100</v>
      </c>
      <c r="K405" s="4">
        <f t="shared" si="12"/>
        <v>0</v>
      </c>
      <c r="L405" s="4">
        <f t="shared" si="13"/>
        <v>0</v>
      </c>
      <c r="M405" t="s">
        <v>794</v>
      </c>
    </row>
    <row r="406" spans="1:13" ht="16.05" customHeight="1">
      <c r="A406" t="s">
        <v>833</v>
      </c>
      <c r="B406" t="s">
        <v>832</v>
      </c>
      <c r="C406" t="s">
        <v>34</v>
      </c>
      <c r="E406" t="s">
        <v>792</v>
      </c>
      <c r="F406" t="s">
        <v>192</v>
      </c>
      <c r="G406" t="s">
        <v>43</v>
      </c>
      <c r="H406" t="s">
        <v>54</v>
      </c>
      <c r="I406" s="4">
        <f>IFERROR(VLOOKUP(G406,SKU_Cost_Input!$A$2:$E$15,4,FALSE),0)</f>
        <v>0</v>
      </c>
      <c r="J406" s="4">
        <f>IFERROR(VLOOKUP(G406,SKU_Cost_Input!$A$2:$E$15,2,FALSE),0)</f>
        <v>50</v>
      </c>
      <c r="K406" s="4">
        <f t="shared" si="12"/>
        <v>0</v>
      </c>
      <c r="L406" s="4">
        <f t="shared" si="13"/>
        <v>0</v>
      </c>
      <c r="M406" t="s">
        <v>794</v>
      </c>
    </row>
    <row r="407" spans="1:13" ht="16.05" customHeight="1"/>
    <row r="408" spans="1:13" ht="16.05" customHeight="1"/>
    <row r="409" spans="1:13" ht="16.05" customHeight="1"/>
    <row r="410" spans="1:13" ht="16.05" customHeight="1"/>
    <row r="411" spans="1:13" ht="16.05" customHeight="1"/>
    <row r="412" spans="1:13" ht="16.05" customHeight="1"/>
    <row r="413" spans="1:13" ht="16.05" customHeight="1"/>
    <row r="414" spans="1:13" ht="16.05" customHeight="1"/>
    <row r="415" spans="1:13" ht="16.05" customHeight="1"/>
    <row r="416" spans="1:13" ht="16.05" customHeight="1"/>
    <row r="417" ht="16.05" customHeight="1"/>
    <row r="418" ht="16.05" customHeight="1"/>
    <row r="419" ht="16.05" customHeight="1"/>
    <row r="420" ht="16.05" customHeight="1"/>
    <row r="421" ht="16.05" customHeight="1"/>
    <row r="422" ht="16.05" customHeight="1"/>
    <row r="423" ht="16.05" customHeight="1"/>
    <row r="424" ht="16.05" customHeight="1"/>
    <row r="425" ht="16.05" customHeight="1"/>
    <row r="426" ht="16.05" customHeight="1"/>
    <row r="427" ht="16.05" customHeight="1"/>
    <row r="428" ht="16.05" customHeight="1"/>
    <row r="429" ht="16.05" customHeight="1"/>
    <row r="430" ht="16.05" customHeight="1"/>
    <row r="431" ht="16.05" customHeight="1"/>
    <row r="432" ht="16.05" customHeight="1"/>
    <row r="433" ht="16.05" customHeight="1"/>
    <row r="434" ht="16.05" customHeight="1"/>
    <row r="435" ht="16.05" customHeight="1"/>
    <row r="436" ht="16.05" customHeight="1"/>
    <row r="437" ht="16.05" customHeight="1"/>
    <row r="438" ht="16.05" customHeight="1"/>
    <row r="439" ht="16.05" customHeight="1"/>
    <row r="440" ht="16.05" customHeight="1"/>
    <row r="441" ht="16.05" customHeight="1"/>
    <row r="442" ht="16.05" customHeight="1"/>
    <row r="443" ht="16.05" customHeight="1"/>
    <row r="444" ht="16.05" customHeight="1"/>
    <row r="445" ht="16.05" customHeight="1"/>
    <row r="446" ht="16.05" customHeight="1"/>
    <row r="447" ht="16.05" customHeight="1"/>
    <row r="448" ht="16.05" customHeight="1"/>
    <row r="449" ht="16.05" customHeight="1"/>
    <row r="450" ht="16.05" customHeight="1"/>
    <row r="451" ht="16.05" customHeight="1"/>
    <row r="452" ht="16.05" customHeight="1"/>
    <row r="453" ht="16.05" customHeight="1"/>
    <row r="454" ht="16.05" customHeight="1"/>
    <row r="455" ht="16.05" customHeight="1"/>
    <row r="456" ht="16.05" customHeight="1"/>
    <row r="457" ht="16.05" customHeight="1"/>
    <row r="458" ht="16.05" customHeight="1"/>
    <row r="459" ht="16.05" customHeight="1"/>
    <row r="460" ht="16.05" customHeight="1"/>
    <row r="461" ht="16.05" customHeight="1"/>
    <row r="462" ht="16.05" customHeight="1"/>
    <row r="463" ht="16.05" customHeight="1"/>
    <row r="464" ht="16.05" customHeight="1"/>
    <row r="465" ht="16.05" customHeight="1"/>
    <row r="466" ht="16.05" customHeight="1"/>
    <row r="467" ht="16.05" customHeight="1"/>
    <row r="468" ht="16.05" customHeight="1"/>
    <row r="469" ht="16.05" customHeight="1"/>
    <row r="470" ht="16.05" customHeight="1"/>
    <row r="471" ht="16.05" customHeight="1"/>
    <row r="472" ht="16.05" customHeight="1"/>
    <row r="473" ht="16.05" customHeight="1"/>
    <row r="474" ht="16.05" customHeight="1"/>
    <row r="475" ht="16.05" customHeight="1"/>
    <row r="476" ht="16.05" customHeight="1"/>
    <row r="477" ht="16.05" customHeight="1"/>
    <row r="478" ht="16.05" customHeight="1"/>
    <row r="479" ht="16.05" customHeight="1"/>
    <row r="480" ht="16.05" customHeight="1"/>
    <row r="481" ht="16.05" customHeight="1"/>
    <row r="482" ht="16.05" customHeight="1"/>
    <row r="483" ht="16.05" customHeight="1"/>
    <row r="484" ht="16.05" customHeight="1"/>
    <row r="485" ht="16.05" customHeight="1"/>
    <row r="486" ht="16.05" customHeight="1"/>
    <row r="487" ht="16.05" customHeight="1"/>
    <row r="488" ht="16.05" customHeight="1"/>
    <row r="489" ht="16.05" customHeight="1"/>
    <row r="490" ht="16.05" customHeight="1"/>
    <row r="491" ht="16.05" customHeight="1"/>
    <row r="492" ht="16.05" customHeight="1"/>
    <row r="493" ht="16.05" customHeight="1"/>
    <row r="494" ht="16.05" customHeight="1"/>
    <row r="495" ht="16.05" customHeight="1"/>
    <row r="496" ht="16.05" customHeight="1"/>
    <row r="497" ht="16.05" customHeight="1"/>
    <row r="498" ht="16.05" customHeight="1"/>
    <row r="499" ht="16.05" customHeight="1"/>
    <row r="500" ht="16.05" customHeight="1"/>
  </sheetData>
  <conditionalFormatting sqref="F2:F406">
    <cfRule type="expression" dxfId="2" priority="1">
      <formula>F2="Yes"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00"/>
  <sheetViews>
    <sheetView workbookViewId="0"/>
  </sheetViews>
  <sheetFormatPr defaultRowHeight="13.8"/>
  <cols>
    <col min="1" max="1" width="22" customWidth="1"/>
    <col min="2" max="2" width="28" customWidth="1"/>
    <col min="3" max="3" width="18" customWidth="1"/>
    <col min="4" max="5" width="28" customWidth="1"/>
    <col min="6" max="6" width="14" customWidth="1"/>
    <col min="7" max="8" width="18" customWidth="1"/>
    <col min="9" max="9" width="36" customWidth="1"/>
    <col min="10" max="10" width="50" customWidth="1"/>
  </cols>
  <sheetData>
    <row r="1" spans="1:10" ht="16.05" customHeight="1">
      <c r="A1" s="3" t="s">
        <v>63</v>
      </c>
      <c r="B1" s="3" t="s">
        <v>64</v>
      </c>
      <c r="C1" s="3" t="s">
        <v>837</v>
      </c>
      <c r="D1" s="3" t="s">
        <v>65</v>
      </c>
      <c r="E1" s="3" t="s">
        <v>66</v>
      </c>
      <c r="F1" s="3" t="s">
        <v>67</v>
      </c>
      <c r="G1" s="3" t="s">
        <v>72</v>
      </c>
      <c r="H1" s="3" t="s">
        <v>838</v>
      </c>
      <c r="I1" s="3" t="s">
        <v>74</v>
      </c>
      <c r="J1" s="3" t="s">
        <v>839</v>
      </c>
    </row>
    <row r="2" spans="1:10" ht="16.05" customHeight="1">
      <c r="A2" t="s">
        <v>187</v>
      </c>
      <c r="B2" t="s">
        <v>188</v>
      </c>
      <c r="C2" t="s">
        <v>31</v>
      </c>
      <c r="D2" t="s">
        <v>189</v>
      </c>
      <c r="G2" t="s">
        <v>191</v>
      </c>
      <c r="H2" t="s">
        <v>840</v>
      </c>
      <c r="I2" t="s">
        <v>113</v>
      </c>
      <c r="J2" t="s">
        <v>193</v>
      </c>
    </row>
    <row r="3" spans="1:10" ht="16.05" customHeight="1">
      <c r="A3" t="s">
        <v>194</v>
      </c>
      <c r="B3" t="s">
        <v>195</v>
      </c>
      <c r="C3" t="s">
        <v>31</v>
      </c>
      <c r="D3" t="s">
        <v>196</v>
      </c>
      <c r="E3" t="s">
        <v>197</v>
      </c>
      <c r="F3" t="s">
        <v>198</v>
      </c>
      <c r="G3" t="s">
        <v>191</v>
      </c>
      <c r="H3" t="s">
        <v>840</v>
      </c>
      <c r="I3" t="s">
        <v>200</v>
      </c>
      <c r="J3" t="s">
        <v>201</v>
      </c>
    </row>
    <row r="4" spans="1:10" ht="16.05" customHeight="1">
      <c r="A4" t="s">
        <v>202</v>
      </c>
      <c r="B4" t="s">
        <v>203</v>
      </c>
      <c r="C4" t="s">
        <v>31</v>
      </c>
      <c r="D4" t="s">
        <v>204</v>
      </c>
      <c r="E4" t="s">
        <v>205</v>
      </c>
      <c r="F4" t="s">
        <v>206</v>
      </c>
      <c r="G4" t="s">
        <v>191</v>
      </c>
      <c r="H4" t="s">
        <v>840</v>
      </c>
      <c r="I4" t="s">
        <v>200</v>
      </c>
      <c r="J4" t="s">
        <v>96</v>
      </c>
    </row>
    <row r="5" spans="1:10" ht="16.05" customHeight="1">
      <c r="A5" t="s">
        <v>208</v>
      </c>
      <c r="B5" t="s">
        <v>209</v>
      </c>
      <c r="C5" t="s">
        <v>31</v>
      </c>
      <c r="D5" t="s">
        <v>210</v>
      </c>
      <c r="E5" t="s">
        <v>211</v>
      </c>
      <c r="F5" t="s">
        <v>212</v>
      </c>
      <c r="G5" t="s">
        <v>191</v>
      </c>
      <c r="H5" t="s">
        <v>840</v>
      </c>
      <c r="I5" t="s">
        <v>214</v>
      </c>
      <c r="J5" t="s">
        <v>114</v>
      </c>
    </row>
    <row r="6" spans="1:10" ht="16.05" customHeight="1">
      <c r="A6" t="s">
        <v>215</v>
      </c>
      <c r="B6" t="s">
        <v>216</v>
      </c>
      <c r="C6" t="s">
        <v>31</v>
      </c>
      <c r="D6" t="s">
        <v>217</v>
      </c>
      <c r="E6" t="s">
        <v>218</v>
      </c>
      <c r="F6" t="s">
        <v>219</v>
      </c>
      <c r="G6" t="s">
        <v>191</v>
      </c>
      <c r="H6" t="s">
        <v>840</v>
      </c>
      <c r="I6" t="s">
        <v>214</v>
      </c>
      <c r="J6" t="s">
        <v>201</v>
      </c>
    </row>
    <row r="7" spans="1:10" ht="16.05" customHeight="1">
      <c r="A7" t="s">
        <v>790</v>
      </c>
      <c r="B7" t="s">
        <v>791</v>
      </c>
      <c r="C7" t="s">
        <v>34</v>
      </c>
      <c r="G7" t="s">
        <v>793</v>
      </c>
      <c r="H7" t="s">
        <v>841</v>
      </c>
      <c r="I7" t="s">
        <v>794</v>
      </c>
      <c r="J7" t="s">
        <v>96</v>
      </c>
    </row>
    <row r="8" spans="1:10" ht="16.05" customHeight="1">
      <c r="A8" t="s">
        <v>795</v>
      </c>
      <c r="B8" t="s">
        <v>796</v>
      </c>
      <c r="C8" t="s">
        <v>34</v>
      </c>
      <c r="G8" t="s">
        <v>793</v>
      </c>
      <c r="H8" t="s">
        <v>841</v>
      </c>
      <c r="I8" t="s">
        <v>794</v>
      </c>
      <c r="J8" t="s">
        <v>86</v>
      </c>
    </row>
    <row r="9" spans="1:10" ht="16.05" customHeight="1">
      <c r="A9" t="s">
        <v>797</v>
      </c>
      <c r="B9" t="s">
        <v>798</v>
      </c>
      <c r="C9" t="s">
        <v>34</v>
      </c>
      <c r="E9" t="s">
        <v>799</v>
      </c>
      <c r="G9" t="s">
        <v>793</v>
      </c>
      <c r="H9" t="s">
        <v>841</v>
      </c>
      <c r="I9" t="s">
        <v>800</v>
      </c>
      <c r="J9" t="s">
        <v>96</v>
      </c>
    </row>
    <row r="10" spans="1:10" ht="16.05" customHeight="1">
      <c r="A10" t="s">
        <v>801</v>
      </c>
      <c r="B10" t="s">
        <v>802</v>
      </c>
      <c r="C10" t="s">
        <v>34</v>
      </c>
      <c r="G10" t="s">
        <v>793</v>
      </c>
      <c r="H10" t="s">
        <v>841</v>
      </c>
      <c r="I10" t="s">
        <v>794</v>
      </c>
      <c r="J10" t="s">
        <v>803</v>
      </c>
    </row>
    <row r="11" spans="1:10" ht="16.05" customHeight="1">
      <c r="A11" t="s">
        <v>804</v>
      </c>
      <c r="B11" t="s">
        <v>805</v>
      </c>
      <c r="C11" t="s">
        <v>34</v>
      </c>
      <c r="G11" t="s">
        <v>793</v>
      </c>
      <c r="H11" t="s">
        <v>841</v>
      </c>
      <c r="I11" t="s">
        <v>794</v>
      </c>
      <c r="J11" t="s">
        <v>43</v>
      </c>
    </row>
    <row r="12" spans="1:10" ht="16.05" customHeight="1">
      <c r="A12" t="s">
        <v>806</v>
      </c>
      <c r="B12" t="s">
        <v>807</v>
      </c>
      <c r="C12" t="s">
        <v>34</v>
      </c>
      <c r="G12" t="s">
        <v>793</v>
      </c>
      <c r="H12" t="s">
        <v>841</v>
      </c>
      <c r="I12" t="s">
        <v>794</v>
      </c>
      <c r="J12" t="s">
        <v>86</v>
      </c>
    </row>
    <row r="13" spans="1:10" ht="16.05" customHeight="1">
      <c r="A13" t="s">
        <v>808</v>
      </c>
      <c r="B13" t="s">
        <v>809</v>
      </c>
      <c r="C13" t="s">
        <v>34</v>
      </c>
      <c r="G13" t="s">
        <v>793</v>
      </c>
      <c r="H13" t="s">
        <v>841</v>
      </c>
      <c r="I13" t="s">
        <v>794</v>
      </c>
      <c r="J13" t="s">
        <v>228</v>
      </c>
    </row>
    <row r="14" spans="1:10" ht="16.05" customHeight="1">
      <c r="A14" t="s">
        <v>810</v>
      </c>
      <c r="B14" t="s">
        <v>811</v>
      </c>
      <c r="C14" t="s">
        <v>34</v>
      </c>
      <c r="G14" t="s">
        <v>793</v>
      </c>
      <c r="H14" t="s">
        <v>841</v>
      </c>
      <c r="I14" t="s">
        <v>794</v>
      </c>
      <c r="J14" t="s">
        <v>86</v>
      </c>
    </row>
    <row r="15" spans="1:10" ht="16.05" customHeight="1">
      <c r="A15" t="s">
        <v>812</v>
      </c>
      <c r="B15" t="s">
        <v>813</v>
      </c>
      <c r="C15" t="s">
        <v>34</v>
      </c>
      <c r="E15" t="s">
        <v>512</v>
      </c>
      <c r="G15" t="s">
        <v>793</v>
      </c>
      <c r="H15" t="s">
        <v>841</v>
      </c>
      <c r="I15" t="s">
        <v>814</v>
      </c>
      <c r="J15" t="s">
        <v>803</v>
      </c>
    </row>
    <row r="16" spans="1:10" ht="16.05" customHeight="1">
      <c r="A16" t="s">
        <v>815</v>
      </c>
      <c r="B16" t="s">
        <v>816</v>
      </c>
      <c r="C16" t="s">
        <v>34</v>
      </c>
      <c r="G16" t="s">
        <v>793</v>
      </c>
      <c r="H16" t="s">
        <v>841</v>
      </c>
      <c r="I16" t="s">
        <v>794</v>
      </c>
      <c r="J16" t="s">
        <v>321</v>
      </c>
    </row>
    <row r="17" spans="1:10" ht="16.05" customHeight="1">
      <c r="A17" t="s">
        <v>817</v>
      </c>
      <c r="B17" t="s">
        <v>818</v>
      </c>
      <c r="C17" t="s">
        <v>34</v>
      </c>
      <c r="G17" t="s">
        <v>793</v>
      </c>
      <c r="H17" t="s">
        <v>841</v>
      </c>
      <c r="I17" t="s">
        <v>794</v>
      </c>
      <c r="J17" t="s">
        <v>86</v>
      </c>
    </row>
    <row r="18" spans="1:10" ht="16.05" customHeight="1">
      <c r="A18" t="s">
        <v>819</v>
      </c>
      <c r="B18" t="s">
        <v>820</v>
      </c>
      <c r="C18" t="s">
        <v>34</v>
      </c>
      <c r="G18" t="s">
        <v>793</v>
      </c>
      <c r="H18" t="s">
        <v>841</v>
      </c>
      <c r="I18" t="s">
        <v>794</v>
      </c>
      <c r="J18" t="s">
        <v>821</v>
      </c>
    </row>
    <row r="19" spans="1:10" ht="16.05" customHeight="1">
      <c r="A19" t="s">
        <v>822</v>
      </c>
      <c r="B19" t="s">
        <v>823</v>
      </c>
      <c r="C19" t="s">
        <v>34</v>
      </c>
      <c r="G19" t="s">
        <v>793</v>
      </c>
      <c r="H19" t="s">
        <v>841</v>
      </c>
      <c r="I19" t="s">
        <v>794</v>
      </c>
      <c r="J19" t="s">
        <v>43</v>
      </c>
    </row>
    <row r="20" spans="1:10" ht="16.05" customHeight="1">
      <c r="A20" t="s">
        <v>824</v>
      </c>
      <c r="B20" t="s">
        <v>825</v>
      </c>
      <c r="C20" t="s">
        <v>34</v>
      </c>
      <c r="G20" t="s">
        <v>793</v>
      </c>
      <c r="H20" t="s">
        <v>841</v>
      </c>
      <c r="I20" t="s">
        <v>794</v>
      </c>
      <c r="J20" t="s">
        <v>394</v>
      </c>
    </row>
    <row r="21" spans="1:10" ht="16.05" customHeight="1">
      <c r="A21" t="s">
        <v>826</v>
      </c>
      <c r="B21" t="s">
        <v>827</v>
      </c>
      <c r="C21" t="s">
        <v>34</v>
      </c>
      <c r="G21" t="s">
        <v>793</v>
      </c>
      <c r="H21" t="s">
        <v>841</v>
      </c>
      <c r="I21" t="s">
        <v>794</v>
      </c>
      <c r="J21" t="s">
        <v>41</v>
      </c>
    </row>
    <row r="22" spans="1:10" ht="16.05" customHeight="1">
      <c r="A22" t="s">
        <v>828</v>
      </c>
      <c r="B22" t="s">
        <v>829</v>
      </c>
      <c r="C22" t="s">
        <v>34</v>
      </c>
      <c r="G22" t="s">
        <v>793</v>
      </c>
      <c r="H22" t="s">
        <v>841</v>
      </c>
      <c r="I22" t="s">
        <v>794</v>
      </c>
      <c r="J22" t="s">
        <v>193</v>
      </c>
    </row>
    <row r="23" spans="1:10" ht="16.05" customHeight="1">
      <c r="A23" t="s">
        <v>830</v>
      </c>
      <c r="B23" t="s">
        <v>831</v>
      </c>
      <c r="C23" t="s">
        <v>34</v>
      </c>
      <c r="G23" t="s">
        <v>793</v>
      </c>
      <c r="H23" t="s">
        <v>841</v>
      </c>
      <c r="I23" t="s">
        <v>794</v>
      </c>
      <c r="J23" t="s">
        <v>86</v>
      </c>
    </row>
    <row r="24" spans="1:10" ht="16.05" customHeight="1">
      <c r="A24" t="s">
        <v>832</v>
      </c>
      <c r="B24" t="s">
        <v>833</v>
      </c>
      <c r="C24" t="s">
        <v>34</v>
      </c>
      <c r="G24" t="s">
        <v>793</v>
      </c>
      <c r="H24" t="s">
        <v>841</v>
      </c>
      <c r="I24" t="s">
        <v>794</v>
      </c>
      <c r="J24" t="s">
        <v>43</v>
      </c>
    </row>
    <row r="25" spans="1:10" ht="16.05" customHeight="1"/>
    <row r="26" spans="1:10" ht="16.05" customHeight="1"/>
    <row r="27" spans="1:10" ht="16.05" customHeight="1"/>
    <row r="28" spans="1:10" ht="16.05" customHeight="1"/>
    <row r="29" spans="1:10" ht="16.05" customHeight="1"/>
    <row r="30" spans="1:10" ht="16.05" customHeight="1"/>
    <row r="31" spans="1:10" ht="16.05" customHeight="1"/>
    <row r="32" spans="1:10" ht="16.05" customHeight="1"/>
    <row r="33" ht="16.05" customHeight="1"/>
    <row r="34" ht="16.05" customHeight="1"/>
    <row r="35" ht="16.05" customHeight="1"/>
    <row r="36" ht="16.05" customHeight="1"/>
    <row r="37" ht="16.05" customHeight="1"/>
    <row r="38" ht="16.05" customHeight="1"/>
    <row r="39" ht="16.05" customHeight="1"/>
    <row r="40" ht="16.05" customHeight="1"/>
    <row r="41" ht="16.05" customHeight="1"/>
    <row r="42" ht="16.05" customHeight="1"/>
    <row r="43" ht="16.05" customHeight="1"/>
    <row r="44" ht="16.05" customHeight="1"/>
    <row r="45" ht="16.05" customHeight="1"/>
    <row r="46" ht="16.05" customHeight="1"/>
    <row r="47" ht="16.05" customHeight="1"/>
    <row r="48" ht="16.05" customHeight="1"/>
    <row r="49" ht="16.05" customHeight="1"/>
    <row r="50" ht="16.05" customHeight="1"/>
    <row r="51" ht="16.05" customHeight="1"/>
    <row r="52" ht="16.05" customHeight="1"/>
    <row r="53" ht="16.05" customHeight="1"/>
    <row r="54" ht="16.05" customHeight="1"/>
    <row r="55" ht="16.05" customHeight="1"/>
    <row r="56" ht="16.05" customHeight="1"/>
    <row r="57" ht="16.05" customHeight="1"/>
    <row r="58" ht="16.05" customHeight="1"/>
    <row r="59" ht="16.05" customHeight="1"/>
    <row r="60" ht="16.05" customHeight="1"/>
    <row r="61" ht="16.05" customHeight="1"/>
    <row r="62" ht="16.05" customHeight="1"/>
    <row r="63" ht="16.05" customHeight="1"/>
    <row r="64" ht="16.05" customHeight="1"/>
    <row r="65" ht="16.05" customHeight="1"/>
    <row r="66" ht="16.05" customHeight="1"/>
    <row r="67" ht="16.05" customHeight="1"/>
    <row r="68" ht="16.05" customHeight="1"/>
    <row r="69" ht="16.05" customHeight="1"/>
    <row r="70" ht="16.05" customHeight="1"/>
    <row r="71" ht="16.05" customHeight="1"/>
    <row r="72" ht="16.05" customHeight="1"/>
    <row r="73" ht="16.05" customHeight="1"/>
    <row r="74" ht="16.05" customHeight="1"/>
    <row r="75" ht="16.05" customHeight="1"/>
    <row r="76" ht="16.05" customHeight="1"/>
    <row r="77" ht="16.05" customHeight="1"/>
    <row r="78" ht="16.05" customHeight="1"/>
    <row r="79" ht="16.05" customHeight="1"/>
    <row r="80" ht="16.05" customHeight="1"/>
    <row r="81" ht="16.05" customHeight="1"/>
    <row r="82" ht="16.05" customHeight="1"/>
    <row r="83" ht="16.05" customHeight="1"/>
    <row r="84" ht="16.05" customHeight="1"/>
    <row r="85" ht="16.05" customHeight="1"/>
    <row r="86" ht="16.05" customHeight="1"/>
    <row r="87" ht="16.05" customHeight="1"/>
    <row r="88" ht="16.05" customHeight="1"/>
    <row r="89" ht="16.05" customHeight="1"/>
    <row r="90" ht="16.05" customHeight="1"/>
    <row r="91" ht="16.05" customHeight="1"/>
    <row r="92" ht="16.05" customHeight="1"/>
    <row r="93" ht="16.05" customHeight="1"/>
    <row r="94" ht="16.05" customHeight="1"/>
    <row r="95" ht="16.05" customHeight="1"/>
    <row r="96" ht="16.05" customHeight="1"/>
    <row r="97" ht="16.05" customHeight="1"/>
    <row r="98" ht="16.05" customHeight="1"/>
    <row r="99" ht="16.05" customHeight="1"/>
    <row r="100" ht="16.05" customHeight="1"/>
    <row r="101" ht="16.05" customHeight="1"/>
    <row r="102" ht="16.05" customHeight="1"/>
    <row r="103" ht="16.05" customHeight="1"/>
    <row r="104" ht="16.05" customHeight="1"/>
    <row r="105" ht="16.05" customHeight="1"/>
    <row r="106" ht="16.05" customHeight="1"/>
    <row r="107" ht="16.05" customHeight="1"/>
    <row r="108" ht="16.05" customHeight="1"/>
    <row r="109" ht="16.05" customHeight="1"/>
    <row r="110" ht="16.05" customHeight="1"/>
    <row r="111" ht="16.05" customHeight="1"/>
    <row r="112" ht="16.05" customHeight="1"/>
    <row r="113" ht="16.05" customHeight="1"/>
    <row r="114" ht="16.05" customHeight="1"/>
    <row r="115" ht="16.05" customHeight="1"/>
    <row r="116" ht="16.05" customHeight="1"/>
    <row r="117" ht="16.05" customHeight="1"/>
    <row r="118" ht="16.05" customHeight="1"/>
    <row r="119" ht="16.05" customHeight="1"/>
    <row r="120" ht="16.05" customHeight="1"/>
    <row r="121" ht="16.05" customHeight="1"/>
    <row r="122" ht="16.05" customHeight="1"/>
    <row r="123" ht="16.05" customHeight="1"/>
    <row r="124" ht="16.05" customHeight="1"/>
    <row r="125" ht="16.05" customHeight="1"/>
    <row r="126" ht="16.05" customHeight="1"/>
    <row r="127" ht="16.05" customHeight="1"/>
    <row r="128" ht="16.05" customHeight="1"/>
    <row r="129" ht="16.05" customHeight="1"/>
    <row r="130" ht="16.05" customHeight="1"/>
    <row r="131" ht="16.05" customHeight="1"/>
    <row r="132" ht="16.05" customHeight="1"/>
    <row r="133" ht="16.05" customHeight="1"/>
    <row r="134" ht="16.05" customHeight="1"/>
    <row r="135" ht="16.05" customHeight="1"/>
    <row r="136" ht="16.05" customHeight="1"/>
    <row r="137" ht="16.05" customHeight="1"/>
    <row r="138" ht="16.05" customHeight="1"/>
    <row r="139" ht="16.05" customHeight="1"/>
    <row r="140" ht="16.05" customHeight="1"/>
    <row r="141" ht="16.05" customHeight="1"/>
    <row r="142" ht="16.05" customHeight="1"/>
    <row r="143" ht="16.05" customHeight="1"/>
    <row r="144" ht="16.05" customHeight="1"/>
    <row r="145" ht="16.05" customHeight="1"/>
    <row r="146" ht="16.05" customHeight="1"/>
    <row r="147" ht="16.05" customHeight="1"/>
    <row r="148" ht="16.05" customHeight="1"/>
    <row r="149" ht="16.05" customHeight="1"/>
    <row r="150" ht="16.05" customHeight="1"/>
    <row r="151" ht="16.05" customHeight="1"/>
    <row r="152" ht="16.05" customHeight="1"/>
    <row r="153" ht="16.05" customHeight="1"/>
    <row r="154" ht="16.05" customHeight="1"/>
    <row r="155" ht="16.05" customHeight="1"/>
    <row r="156" ht="16.05" customHeight="1"/>
    <row r="157" ht="16.05" customHeight="1"/>
    <row r="158" ht="16.05" customHeight="1"/>
    <row r="159" ht="16.05" customHeight="1"/>
    <row r="160" ht="16.05" customHeight="1"/>
    <row r="161" ht="16.05" customHeight="1"/>
    <row r="162" ht="16.05" customHeight="1"/>
    <row r="163" ht="16.05" customHeight="1"/>
    <row r="164" ht="16.05" customHeight="1"/>
    <row r="165" ht="16.05" customHeight="1"/>
    <row r="166" ht="16.05" customHeight="1"/>
    <row r="167" ht="16.05" customHeight="1"/>
    <row r="168" ht="16.05" customHeight="1"/>
    <row r="169" ht="16.05" customHeight="1"/>
    <row r="170" ht="16.05" customHeight="1"/>
    <row r="171" ht="16.05" customHeight="1"/>
    <row r="172" ht="16.05" customHeight="1"/>
    <row r="173" ht="16.05" customHeight="1"/>
    <row r="174" ht="16.05" customHeight="1"/>
    <row r="175" ht="16.05" customHeight="1"/>
    <row r="176" ht="16.05" customHeight="1"/>
    <row r="177" ht="16.05" customHeight="1"/>
    <row r="178" ht="16.05" customHeight="1"/>
    <row r="179" ht="16.05" customHeight="1"/>
    <row r="180" ht="16.05" customHeight="1"/>
    <row r="181" ht="16.05" customHeight="1"/>
    <row r="182" ht="16.05" customHeight="1"/>
    <row r="183" ht="16.05" customHeight="1"/>
    <row r="184" ht="16.05" customHeight="1"/>
    <row r="185" ht="16.05" customHeight="1"/>
    <row r="186" ht="16.05" customHeight="1"/>
    <row r="187" ht="16.05" customHeight="1"/>
    <row r="188" ht="16.05" customHeight="1"/>
    <row r="189" ht="16.05" customHeight="1"/>
    <row r="190" ht="16.05" customHeight="1"/>
    <row r="191" ht="16.05" customHeight="1"/>
    <row r="192" ht="16.05" customHeight="1"/>
    <row r="193" ht="16.05" customHeight="1"/>
    <row r="194" ht="16.05" customHeight="1"/>
    <row r="195" ht="16.05" customHeight="1"/>
    <row r="196" ht="16.05" customHeight="1"/>
    <row r="197" ht="16.05" customHeight="1"/>
    <row r="198" ht="16.05" customHeight="1"/>
    <row r="199" ht="16.05" customHeight="1"/>
    <row r="200" ht="16.05" customHeight="1"/>
    <row r="201" ht="16.05" customHeight="1"/>
    <row r="202" ht="16.05" customHeight="1"/>
    <row r="203" ht="16.05" customHeight="1"/>
    <row r="204" ht="16.05" customHeight="1"/>
    <row r="205" ht="16.05" customHeight="1"/>
    <row r="206" ht="16.05" customHeight="1"/>
    <row r="207" ht="16.05" customHeight="1"/>
    <row r="208" ht="16.05" customHeight="1"/>
    <row r="209" ht="16.05" customHeight="1"/>
    <row r="210" ht="16.05" customHeight="1"/>
    <row r="211" ht="16.05" customHeight="1"/>
    <row r="212" ht="16.05" customHeight="1"/>
    <row r="213" ht="16.05" customHeight="1"/>
    <row r="214" ht="16.05" customHeight="1"/>
    <row r="215" ht="16.05" customHeight="1"/>
    <row r="216" ht="16.05" customHeight="1"/>
    <row r="217" ht="16.05" customHeight="1"/>
    <row r="218" ht="16.05" customHeight="1"/>
    <row r="219" ht="16.05" customHeight="1"/>
    <row r="220" ht="16.05" customHeight="1"/>
    <row r="221" ht="16.05" customHeight="1"/>
    <row r="222" ht="16.05" customHeight="1"/>
    <row r="223" ht="16.05" customHeight="1"/>
    <row r="224" ht="16.05" customHeight="1"/>
    <row r="225" ht="16.05" customHeight="1"/>
    <row r="226" ht="16.05" customHeight="1"/>
    <row r="227" ht="16.05" customHeight="1"/>
    <row r="228" ht="16.05" customHeight="1"/>
    <row r="229" ht="16.05" customHeight="1"/>
    <row r="230" ht="16.05" customHeight="1"/>
    <row r="231" ht="16.05" customHeight="1"/>
    <row r="232" ht="16.05" customHeight="1"/>
    <row r="233" ht="16.05" customHeight="1"/>
    <row r="234" ht="16.05" customHeight="1"/>
    <row r="235" ht="16.05" customHeight="1"/>
    <row r="236" ht="16.05" customHeight="1"/>
    <row r="237" ht="16.05" customHeight="1"/>
    <row r="238" ht="16.05" customHeight="1"/>
    <row r="239" ht="16.05" customHeight="1"/>
    <row r="240" ht="16.05" customHeight="1"/>
    <row r="241" ht="16.05" customHeight="1"/>
    <row r="242" ht="16.05" customHeight="1"/>
    <row r="243" ht="16.05" customHeight="1"/>
    <row r="244" ht="16.05" customHeight="1"/>
    <row r="245" ht="16.05" customHeight="1"/>
    <row r="246" ht="16.05" customHeight="1"/>
    <row r="247" ht="16.05" customHeight="1"/>
    <row r="248" ht="16.05" customHeight="1"/>
    <row r="249" ht="16.05" customHeight="1"/>
    <row r="250" ht="16.05" customHeight="1"/>
    <row r="251" ht="16.05" customHeight="1"/>
    <row r="252" ht="16.05" customHeight="1"/>
    <row r="253" ht="16.05" customHeight="1"/>
    <row r="254" ht="16.05" customHeight="1"/>
    <row r="255" ht="16.05" customHeight="1"/>
    <row r="256" ht="16.05" customHeight="1"/>
    <row r="257" ht="16.05" customHeight="1"/>
    <row r="258" ht="16.05" customHeight="1"/>
    <row r="259" ht="16.05" customHeight="1"/>
    <row r="260" ht="16.05" customHeight="1"/>
    <row r="261" ht="16.05" customHeight="1"/>
    <row r="262" ht="16.05" customHeight="1"/>
    <row r="263" ht="16.05" customHeight="1"/>
    <row r="264" ht="16.05" customHeight="1"/>
    <row r="265" ht="16.05" customHeight="1"/>
    <row r="266" ht="16.05" customHeight="1"/>
    <row r="267" ht="16.05" customHeight="1"/>
    <row r="268" ht="16.05" customHeight="1"/>
    <row r="269" ht="16.05" customHeight="1"/>
    <row r="270" ht="16.05" customHeight="1"/>
    <row r="271" ht="16.05" customHeight="1"/>
    <row r="272" ht="16.05" customHeight="1"/>
    <row r="273" ht="16.05" customHeight="1"/>
    <row r="274" ht="16.05" customHeight="1"/>
    <row r="275" ht="16.05" customHeight="1"/>
    <row r="276" ht="16.05" customHeight="1"/>
    <row r="277" ht="16.05" customHeight="1"/>
    <row r="278" ht="16.05" customHeight="1"/>
    <row r="279" ht="16.05" customHeight="1"/>
    <row r="280" ht="16.05" customHeight="1"/>
    <row r="281" ht="16.05" customHeight="1"/>
    <row r="282" ht="16.05" customHeight="1"/>
    <row r="283" ht="16.05" customHeight="1"/>
    <row r="284" ht="16.05" customHeight="1"/>
    <row r="285" ht="16.05" customHeight="1"/>
    <row r="286" ht="16.05" customHeight="1"/>
    <row r="287" ht="16.05" customHeight="1"/>
    <row r="288" ht="16.05" customHeight="1"/>
    <row r="289" ht="16.05" customHeight="1"/>
    <row r="290" ht="16.05" customHeight="1"/>
    <row r="291" ht="16.05" customHeight="1"/>
    <row r="292" ht="16.05" customHeight="1"/>
    <row r="293" ht="16.05" customHeight="1"/>
    <row r="294" ht="16.05" customHeight="1"/>
    <row r="295" ht="16.05" customHeight="1"/>
    <row r="296" ht="16.05" customHeight="1"/>
    <row r="297" ht="16.05" customHeight="1"/>
    <row r="298" ht="16.05" customHeight="1"/>
    <row r="299" ht="16.05" customHeight="1"/>
    <row r="300" ht="16.05" customHeight="1"/>
    <row r="301" ht="16.05" customHeight="1"/>
    <row r="302" ht="16.05" customHeight="1"/>
    <row r="303" ht="16.05" customHeight="1"/>
    <row r="304" ht="16.05" customHeight="1"/>
    <row r="305" ht="16.05" customHeight="1"/>
    <row r="306" ht="16.05" customHeight="1"/>
    <row r="307" ht="16.05" customHeight="1"/>
    <row r="308" ht="16.05" customHeight="1"/>
    <row r="309" ht="16.05" customHeight="1"/>
    <row r="310" ht="16.05" customHeight="1"/>
    <row r="311" ht="16.05" customHeight="1"/>
    <row r="312" ht="16.05" customHeight="1"/>
    <row r="313" ht="16.05" customHeight="1"/>
    <row r="314" ht="16.05" customHeight="1"/>
    <row r="315" ht="16.05" customHeight="1"/>
    <row r="316" ht="16.05" customHeight="1"/>
    <row r="317" ht="16.05" customHeight="1"/>
    <row r="318" ht="16.05" customHeight="1"/>
    <row r="319" ht="16.05" customHeight="1"/>
    <row r="320" ht="16.05" customHeight="1"/>
    <row r="321" ht="16.05" customHeight="1"/>
    <row r="322" ht="16.05" customHeight="1"/>
    <row r="323" ht="16.05" customHeight="1"/>
    <row r="324" ht="16.05" customHeight="1"/>
    <row r="325" ht="16.05" customHeight="1"/>
    <row r="326" ht="16.05" customHeight="1"/>
    <row r="327" ht="16.05" customHeight="1"/>
    <row r="328" ht="16.05" customHeight="1"/>
    <row r="329" ht="16.05" customHeight="1"/>
    <row r="330" ht="16.05" customHeight="1"/>
    <row r="331" ht="16.05" customHeight="1"/>
    <row r="332" ht="16.05" customHeight="1"/>
    <row r="333" ht="16.05" customHeight="1"/>
    <row r="334" ht="16.05" customHeight="1"/>
    <row r="335" ht="16.05" customHeight="1"/>
    <row r="336" ht="16.05" customHeight="1"/>
    <row r="337" ht="16.05" customHeight="1"/>
    <row r="338" ht="16.05" customHeight="1"/>
    <row r="339" ht="16.05" customHeight="1"/>
    <row r="340" ht="16.05" customHeight="1"/>
    <row r="341" ht="16.05" customHeight="1"/>
    <row r="342" ht="16.05" customHeight="1"/>
    <row r="343" ht="16.05" customHeight="1"/>
    <row r="344" ht="16.05" customHeight="1"/>
    <row r="345" ht="16.05" customHeight="1"/>
    <row r="346" ht="16.05" customHeight="1"/>
    <row r="347" ht="16.05" customHeight="1"/>
    <row r="348" ht="16.05" customHeight="1"/>
    <row r="349" ht="16.05" customHeight="1"/>
    <row r="350" ht="16.05" customHeight="1"/>
    <row r="351" ht="16.05" customHeight="1"/>
    <row r="352" ht="16.05" customHeight="1"/>
    <row r="353" ht="16.05" customHeight="1"/>
    <row r="354" ht="16.05" customHeight="1"/>
    <row r="355" ht="16.05" customHeight="1"/>
    <row r="356" ht="16.05" customHeight="1"/>
    <row r="357" ht="16.05" customHeight="1"/>
    <row r="358" ht="16.05" customHeight="1"/>
    <row r="359" ht="16.05" customHeight="1"/>
    <row r="360" ht="16.05" customHeight="1"/>
    <row r="361" ht="16.05" customHeight="1"/>
    <row r="362" ht="16.05" customHeight="1"/>
    <row r="363" ht="16.05" customHeight="1"/>
    <row r="364" ht="16.05" customHeight="1"/>
    <row r="365" ht="16.05" customHeight="1"/>
    <row r="366" ht="16.05" customHeight="1"/>
    <row r="367" ht="16.05" customHeight="1"/>
    <row r="368" ht="16.05" customHeight="1"/>
    <row r="369" ht="16.05" customHeight="1"/>
    <row r="370" ht="16.05" customHeight="1"/>
    <row r="371" ht="16.05" customHeight="1"/>
    <row r="372" ht="16.05" customHeight="1"/>
    <row r="373" ht="16.05" customHeight="1"/>
    <row r="374" ht="16.05" customHeight="1"/>
    <row r="375" ht="16.05" customHeight="1"/>
    <row r="376" ht="16.05" customHeight="1"/>
    <row r="377" ht="16.05" customHeight="1"/>
    <row r="378" ht="16.05" customHeight="1"/>
    <row r="379" ht="16.05" customHeight="1"/>
    <row r="380" ht="16.05" customHeight="1"/>
    <row r="381" ht="16.05" customHeight="1"/>
    <row r="382" ht="16.05" customHeight="1"/>
    <row r="383" ht="16.05" customHeight="1"/>
    <row r="384" ht="16.05" customHeight="1"/>
    <row r="385" ht="16.05" customHeight="1"/>
    <row r="386" ht="16.05" customHeight="1"/>
    <row r="387" ht="16.05" customHeight="1"/>
    <row r="388" ht="16.05" customHeight="1"/>
    <row r="389" ht="16.05" customHeight="1"/>
    <row r="390" ht="16.05" customHeight="1"/>
    <row r="391" ht="16.05" customHeight="1"/>
    <row r="392" ht="16.05" customHeight="1"/>
    <row r="393" ht="16.05" customHeight="1"/>
    <row r="394" ht="16.05" customHeight="1"/>
    <row r="395" ht="16.05" customHeight="1"/>
    <row r="396" ht="16.05" customHeight="1"/>
    <row r="397" ht="16.05" customHeight="1"/>
    <row r="398" ht="16.05" customHeight="1"/>
    <row r="399" ht="16.05" customHeight="1"/>
    <row r="400" ht="16.05" customHeight="1"/>
    <row r="401" ht="16.05" customHeight="1"/>
    <row r="402" ht="16.05" customHeight="1"/>
    <row r="403" ht="16.05" customHeight="1"/>
    <row r="404" ht="16.05" customHeight="1"/>
    <row r="405" ht="16.05" customHeight="1"/>
    <row r="406" ht="16.05" customHeight="1"/>
    <row r="407" ht="16.05" customHeight="1"/>
    <row r="408" ht="16.05" customHeight="1"/>
    <row r="409" ht="16.05" customHeight="1"/>
    <row r="410" ht="16.05" customHeight="1"/>
    <row r="411" ht="16.05" customHeight="1"/>
    <row r="412" ht="16.05" customHeight="1"/>
    <row r="413" ht="16.05" customHeight="1"/>
    <row r="414" ht="16.05" customHeight="1"/>
    <row r="415" ht="16.05" customHeight="1"/>
    <row r="416" ht="16.05" customHeight="1"/>
    <row r="417" ht="16.05" customHeight="1"/>
    <row r="418" ht="16.05" customHeight="1"/>
    <row r="419" ht="16.05" customHeight="1"/>
    <row r="420" ht="16.05" customHeight="1"/>
    <row r="421" ht="16.05" customHeight="1"/>
    <row r="422" ht="16.05" customHeight="1"/>
    <row r="423" ht="16.05" customHeight="1"/>
    <row r="424" ht="16.05" customHeight="1"/>
    <row r="425" ht="16.05" customHeight="1"/>
    <row r="426" ht="16.05" customHeight="1"/>
    <row r="427" ht="16.05" customHeight="1"/>
    <row r="428" ht="16.05" customHeight="1"/>
    <row r="429" ht="16.05" customHeight="1"/>
    <row r="430" ht="16.05" customHeight="1"/>
    <row r="431" ht="16.05" customHeight="1"/>
    <row r="432" ht="16.05" customHeight="1"/>
    <row r="433" ht="16.05" customHeight="1"/>
    <row r="434" ht="16.05" customHeight="1"/>
    <row r="435" ht="16.05" customHeight="1"/>
    <row r="436" ht="16.05" customHeight="1"/>
    <row r="437" ht="16.05" customHeight="1"/>
    <row r="438" ht="16.05" customHeight="1"/>
    <row r="439" ht="16.05" customHeight="1"/>
    <row r="440" ht="16.05" customHeight="1"/>
    <row r="441" ht="16.05" customHeight="1"/>
    <row r="442" ht="16.05" customHeight="1"/>
    <row r="443" ht="16.05" customHeight="1"/>
    <row r="444" ht="16.05" customHeight="1"/>
    <row r="445" ht="16.05" customHeight="1"/>
    <row r="446" ht="16.05" customHeight="1"/>
    <row r="447" ht="16.05" customHeight="1"/>
    <row r="448" ht="16.05" customHeight="1"/>
    <row r="449" ht="16.05" customHeight="1"/>
    <row r="450" ht="16.05" customHeight="1"/>
    <row r="451" ht="16.05" customHeight="1"/>
    <row r="452" ht="16.05" customHeight="1"/>
    <row r="453" ht="16.05" customHeight="1"/>
    <row r="454" ht="16.05" customHeight="1"/>
    <row r="455" ht="16.05" customHeight="1"/>
    <row r="456" ht="16.05" customHeight="1"/>
    <row r="457" ht="16.05" customHeight="1"/>
    <row r="458" ht="16.05" customHeight="1"/>
    <row r="459" ht="16.05" customHeight="1"/>
    <row r="460" ht="16.05" customHeight="1"/>
    <row r="461" ht="16.05" customHeight="1"/>
    <row r="462" ht="16.05" customHeight="1"/>
    <row r="463" ht="16.05" customHeight="1"/>
    <row r="464" ht="16.05" customHeight="1"/>
    <row r="465" ht="16.05" customHeight="1"/>
    <row r="466" ht="16.05" customHeight="1"/>
    <row r="467" ht="16.05" customHeight="1"/>
    <row r="468" ht="16.05" customHeight="1"/>
    <row r="469" ht="16.05" customHeight="1"/>
    <row r="470" ht="16.05" customHeight="1"/>
    <row r="471" ht="16.05" customHeight="1"/>
    <row r="472" ht="16.05" customHeight="1"/>
    <row r="473" ht="16.05" customHeight="1"/>
    <row r="474" ht="16.05" customHeight="1"/>
    <row r="475" ht="16.05" customHeight="1"/>
    <row r="476" ht="16.05" customHeight="1"/>
    <row r="477" ht="16.05" customHeight="1"/>
    <row r="478" ht="16.05" customHeight="1"/>
    <row r="479" ht="16.05" customHeight="1"/>
    <row r="480" ht="16.05" customHeight="1"/>
    <row r="481" ht="16.05" customHeight="1"/>
    <row r="482" ht="16.05" customHeight="1"/>
    <row r="483" ht="16.05" customHeight="1"/>
    <row r="484" ht="16.05" customHeight="1"/>
    <row r="485" ht="16.05" customHeight="1"/>
    <row r="486" ht="16.05" customHeight="1"/>
    <row r="487" ht="16.05" customHeight="1"/>
    <row r="488" ht="16.05" customHeight="1"/>
    <row r="489" ht="16.05" customHeight="1"/>
    <row r="490" ht="16.05" customHeight="1"/>
    <row r="491" ht="16.05" customHeight="1"/>
    <row r="492" ht="16.05" customHeight="1"/>
    <row r="493" ht="16.05" customHeight="1"/>
    <row r="494" ht="16.05" customHeight="1"/>
    <row r="495" ht="16.05" customHeight="1"/>
    <row r="496" ht="16.05" customHeight="1"/>
    <row r="497" ht="16.05" customHeight="1"/>
    <row r="498" ht="16.05" customHeight="1"/>
    <row r="499" ht="16.05" customHeight="1"/>
    <row r="500" ht="16.05" customHeight="1"/>
  </sheetData>
  <conditionalFormatting sqref="A2:J24">
    <cfRule type="expression" dxfId="1" priority="1">
      <formula>$G2="Low"</formula>
    </cfRule>
    <cfRule type="expression" dxfId="0" priority="2">
      <formula>$H2="Unassigned / no confident match"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0"/>
  <sheetViews>
    <sheetView workbookViewId="0"/>
  </sheetViews>
  <sheetFormatPr defaultRowHeight="13.8"/>
  <cols>
    <col min="1" max="2" width="28" customWidth="1"/>
    <col min="3" max="3" width="14" customWidth="1"/>
    <col min="4" max="5" width="15" customWidth="1"/>
    <col min="6" max="6" width="18" customWidth="1"/>
    <col min="7" max="7" width="16" customWidth="1"/>
    <col min="8" max="8" width="28" customWidth="1"/>
    <col min="9" max="9" width="22" customWidth="1"/>
    <col min="10" max="10" width="16" customWidth="1"/>
    <col min="11" max="11" width="12" customWidth="1"/>
    <col min="12" max="12" width="10" customWidth="1"/>
  </cols>
  <sheetData>
    <row r="1" spans="1:12" ht="16.05" customHeight="1">
      <c r="A1" s="3" t="s">
        <v>842</v>
      </c>
      <c r="B1" s="3" t="s">
        <v>843</v>
      </c>
      <c r="C1" s="3" t="s">
        <v>844</v>
      </c>
      <c r="D1" s="3" t="s">
        <v>845</v>
      </c>
      <c r="E1" s="3" t="s">
        <v>846</v>
      </c>
      <c r="F1" s="3" t="s">
        <v>69</v>
      </c>
      <c r="G1" s="3" t="s">
        <v>847</v>
      </c>
      <c r="H1" s="3" t="s">
        <v>848</v>
      </c>
      <c r="I1" s="3" t="s">
        <v>849</v>
      </c>
      <c r="J1" s="3" t="s">
        <v>850</v>
      </c>
      <c r="K1" s="3" t="s">
        <v>851</v>
      </c>
      <c r="L1" s="3" t="s">
        <v>852</v>
      </c>
    </row>
    <row r="2" spans="1:12" ht="16.05" customHeight="1">
      <c r="A2" t="s">
        <v>853</v>
      </c>
      <c r="B2" t="s">
        <v>854</v>
      </c>
      <c r="C2" t="s">
        <v>855</v>
      </c>
      <c r="D2" t="s">
        <v>856</v>
      </c>
      <c r="E2" t="s">
        <v>31</v>
      </c>
      <c r="G2" t="s">
        <v>31</v>
      </c>
      <c r="H2" t="s">
        <v>857</v>
      </c>
      <c r="I2" t="s">
        <v>202</v>
      </c>
      <c r="J2" t="s">
        <v>858</v>
      </c>
      <c r="K2" t="s">
        <v>859</v>
      </c>
      <c r="L2">
        <v>7</v>
      </c>
    </row>
    <row r="3" spans="1:12" ht="16.05" customHeight="1">
      <c r="A3" t="s">
        <v>79</v>
      </c>
      <c r="B3" t="s">
        <v>77</v>
      </c>
      <c r="C3" t="s">
        <v>80</v>
      </c>
      <c r="D3" t="s">
        <v>860</v>
      </c>
      <c r="E3" t="s">
        <v>31</v>
      </c>
      <c r="G3" t="s">
        <v>31</v>
      </c>
      <c r="H3" t="s">
        <v>861</v>
      </c>
      <c r="I3" t="s">
        <v>167</v>
      </c>
      <c r="J3" t="s">
        <v>81</v>
      </c>
      <c r="K3" t="s">
        <v>859</v>
      </c>
      <c r="L3">
        <v>11</v>
      </c>
    </row>
    <row r="4" spans="1:12" ht="16.05" customHeight="1">
      <c r="A4" t="s">
        <v>88</v>
      </c>
      <c r="B4" t="s">
        <v>89</v>
      </c>
      <c r="C4" t="s">
        <v>90</v>
      </c>
      <c r="D4" t="s">
        <v>856</v>
      </c>
      <c r="E4" t="s">
        <v>31</v>
      </c>
      <c r="G4" t="s">
        <v>31</v>
      </c>
      <c r="H4" t="s">
        <v>862</v>
      </c>
      <c r="I4" t="s">
        <v>202</v>
      </c>
      <c r="J4" t="s">
        <v>91</v>
      </c>
      <c r="K4" t="s">
        <v>859</v>
      </c>
      <c r="L4">
        <v>13</v>
      </c>
    </row>
    <row r="5" spans="1:12" ht="16.05" customHeight="1">
      <c r="A5" t="s">
        <v>93</v>
      </c>
      <c r="B5" t="s">
        <v>92</v>
      </c>
      <c r="C5" t="s">
        <v>94</v>
      </c>
      <c r="D5" t="s">
        <v>31</v>
      </c>
      <c r="E5" t="s">
        <v>31</v>
      </c>
      <c r="G5" t="s">
        <v>31</v>
      </c>
      <c r="H5" t="s">
        <v>863</v>
      </c>
      <c r="I5" t="s">
        <v>285</v>
      </c>
      <c r="J5" t="s">
        <v>95</v>
      </c>
      <c r="K5" t="s">
        <v>859</v>
      </c>
      <c r="L5">
        <v>21</v>
      </c>
    </row>
    <row r="6" spans="1:12" ht="16.05" customHeight="1">
      <c r="A6" t="s">
        <v>864</v>
      </c>
      <c r="B6" t="s">
        <v>865</v>
      </c>
      <c r="C6" t="s">
        <v>866</v>
      </c>
      <c r="D6" t="s">
        <v>867</v>
      </c>
      <c r="E6" t="s">
        <v>31</v>
      </c>
      <c r="G6" t="s">
        <v>31</v>
      </c>
      <c r="H6" t="s">
        <v>868</v>
      </c>
      <c r="I6" t="s">
        <v>285</v>
      </c>
      <c r="J6" t="s">
        <v>869</v>
      </c>
      <c r="K6" t="s">
        <v>859</v>
      </c>
      <c r="L6">
        <v>22</v>
      </c>
    </row>
    <row r="7" spans="1:12" ht="16.05" customHeight="1">
      <c r="A7" t="s">
        <v>100</v>
      </c>
      <c r="B7" t="s">
        <v>99</v>
      </c>
      <c r="C7" t="s">
        <v>101</v>
      </c>
      <c r="D7" t="s">
        <v>856</v>
      </c>
      <c r="E7" t="s">
        <v>31</v>
      </c>
      <c r="G7" t="s">
        <v>31</v>
      </c>
      <c r="H7" t="s">
        <v>870</v>
      </c>
      <c r="I7" t="s">
        <v>202</v>
      </c>
      <c r="J7" t="s">
        <v>102</v>
      </c>
      <c r="K7" t="s">
        <v>859</v>
      </c>
      <c r="L7">
        <v>32</v>
      </c>
    </row>
    <row r="8" spans="1:12" ht="16.05" customHeight="1">
      <c r="A8" t="s">
        <v>104</v>
      </c>
      <c r="B8" t="s">
        <v>103</v>
      </c>
      <c r="C8" t="s">
        <v>105</v>
      </c>
      <c r="D8" t="s">
        <v>31</v>
      </c>
      <c r="E8" t="s">
        <v>31</v>
      </c>
      <c r="G8" t="s">
        <v>31</v>
      </c>
      <c r="H8" t="s">
        <v>871</v>
      </c>
      <c r="I8" t="s">
        <v>285</v>
      </c>
      <c r="J8" t="s">
        <v>106</v>
      </c>
      <c r="K8" t="s">
        <v>859</v>
      </c>
      <c r="L8">
        <v>33</v>
      </c>
    </row>
    <row r="9" spans="1:12" ht="16.05" customHeight="1">
      <c r="A9" t="s">
        <v>109</v>
      </c>
      <c r="B9" t="s">
        <v>107</v>
      </c>
      <c r="C9" t="s">
        <v>110</v>
      </c>
      <c r="D9" t="s">
        <v>867</v>
      </c>
      <c r="E9" t="s">
        <v>31</v>
      </c>
      <c r="G9" t="s">
        <v>31</v>
      </c>
      <c r="H9" t="s">
        <v>872</v>
      </c>
      <c r="I9" t="s">
        <v>285</v>
      </c>
      <c r="J9" t="s">
        <v>111</v>
      </c>
      <c r="K9" t="s">
        <v>859</v>
      </c>
      <c r="L9">
        <v>36</v>
      </c>
    </row>
    <row r="10" spans="1:12" ht="16.05" customHeight="1">
      <c r="A10" t="s">
        <v>117</v>
      </c>
      <c r="B10" t="s">
        <v>115</v>
      </c>
      <c r="C10" t="s">
        <v>118</v>
      </c>
      <c r="D10" t="s">
        <v>856</v>
      </c>
      <c r="E10" t="s">
        <v>31</v>
      </c>
      <c r="G10" t="s">
        <v>31</v>
      </c>
      <c r="H10" t="s">
        <v>873</v>
      </c>
      <c r="I10" t="s">
        <v>202</v>
      </c>
      <c r="J10" t="s">
        <v>119</v>
      </c>
      <c r="K10" t="s">
        <v>859</v>
      </c>
      <c r="L10">
        <v>42</v>
      </c>
    </row>
    <row r="11" spans="1:12" ht="16.05" customHeight="1">
      <c r="A11" t="s">
        <v>123</v>
      </c>
      <c r="B11" t="s">
        <v>122</v>
      </c>
      <c r="C11" t="s">
        <v>124</v>
      </c>
      <c r="D11" t="s">
        <v>867</v>
      </c>
      <c r="E11" t="s">
        <v>31</v>
      </c>
      <c r="G11" t="s">
        <v>31</v>
      </c>
      <c r="H11" t="s">
        <v>872</v>
      </c>
      <c r="I11" t="s">
        <v>285</v>
      </c>
      <c r="J11" t="s">
        <v>125</v>
      </c>
      <c r="K11" t="s">
        <v>859</v>
      </c>
      <c r="L11">
        <v>50</v>
      </c>
    </row>
    <row r="12" spans="1:12" ht="16.05" customHeight="1">
      <c r="A12" t="s">
        <v>874</v>
      </c>
      <c r="B12" t="s">
        <v>875</v>
      </c>
      <c r="C12" t="s">
        <v>876</v>
      </c>
      <c r="D12" t="s">
        <v>867</v>
      </c>
      <c r="E12" t="s">
        <v>31</v>
      </c>
      <c r="G12" t="s">
        <v>31</v>
      </c>
      <c r="H12" t="s">
        <v>872</v>
      </c>
      <c r="I12" t="s">
        <v>285</v>
      </c>
      <c r="J12" t="s">
        <v>877</v>
      </c>
      <c r="K12" t="s">
        <v>859</v>
      </c>
      <c r="L12">
        <v>54</v>
      </c>
    </row>
    <row r="13" spans="1:12" ht="16.05" customHeight="1">
      <c r="B13" t="s">
        <v>189</v>
      </c>
      <c r="D13" t="s">
        <v>856</v>
      </c>
      <c r="E13" t="s">
        <v>31</v>
      </c>
      <c r="G13" t="s">
        <v>31</v>
      </c>
      <c r="H13" t="s">
        <v>878</v>
      </c>
      <c r="I13" t="s">
        <v>202</v>
      </c>
      <c r="J13" t="s">
        <v>190</v>
      </c>
      <c r="K13" t="s">
        <v>879</v>
      </c>
      <c r="L13">
        <v>57</v>
      </c>
    </row>
    <row r="14" spans="1:12" ht="16.05" customHeight="1">
      <c r="A14" t="s">
        <v>880</v>
      </c>
      <c r="B14" t="s">
        <v>881</v>
      </c>
      <c r="C14" t="s">
        <v>882</v>
      </c>
      <c r="D14" t="s">
        <v>867</v>
      </c>
      <c r="E14" t="s">
        <v>31</v>
      </c>
      <c r="G14" t="s">
        <v>31</v>
      </c>
      <c r="H14" t="s">
        <v>868</v>
      </c>
      <c r="I14" t="s">
        <v>285</v>
      </c>
      <c r="J14" t="s">
        <v>883</v>
      </c>
      <c r="K14" t="s">
        <v>859</v>
      </c>
      <c r="L14">
        <v>63</v>
      </c>
    </row>
    <row r="15" spans="1:12" ht="16.05" customHeight="1">
      <c r="A15" t="s">
        <v>129</v>
      </c>
      <c r="B15" t="s">
        <v>127</v>
      </c>
      <c r="C15" t="s">
        <v>130</v>
      </c>
      <c r="D15" t="s">
        <v>856</v>
      </c>
      <c r="E15" t="s">
        <v>31</v>
      </c>
      <c r="G15" t="s">
        <v>31</v>
      </c>
      <c r="H15" t="s">
        <v>884</v>
      </c>
      <c r="I15" t="s">
        <v>202</v>
      </c>
      <c r="J15" t="s">
        <v>131</v>
      </c>
      <c r="K15" t="s">
        <v>859</v>
      </c>
      <c r="L15">
        <v>58</v>
      </c>
    </row>
    <row r="16" spans="1:12" ht="16.05" customHeight="1">
      <c r="A16" t="s">
        <v>134</v>
      </c>
      <c r="B16" t="s">
        <v>132</v>
      </c>
      <c r="C16" t="s">
        <v>135</v>
      </c>
      <c r="D16" t="s">
        <v>856</v>
      </c>
      <c r="E16" t="s">
        <v>31</v>
      </c>
      <c r="G16" t="s">
        <v>31</v>
      </c>
      <c r="H16" t="s">
        <v>885</v>
      </c>
      <c r="I16" t="s">
        <v>202</v>
      </c>
      <c r="J16" t="s">
        <v>136</v>
      </c>
      <c r="K16" t="s">
        <v>859</v>
      </c>
      <c r="L16">
        <v>59</v>
      </c>
    </row>
    <row r="17" spans="1:12" ht="16.05" customHeight="1">
      <c r="A17" t="s">
        <v>886</v>
      </c>
      <c r="B17" t="s">
        <v>887</v>
      </c>
      <c r="C17" t="s">
        <v>888</v>
      </c>
      <c r="D17" t="s">
        <v>867</v>
      </c>
      <c r="E17" t="s">
        <v>31</v>
      </c>
      <c r="G17" t="s">
        <v>31</v>
      </c>
      <c r="H17" t="s">
        <v>873</v>
      </c>
      <c r="I17" t="s">
        <v>285</v>
      </c>
      <c r="J17" t="s">
        <v>889</v>
      </c>
      <c r="K17" t="s">
        <v>859</v>
      </c>
      <c r="L17">
        <v>55</v>
      </c>
    </row>
    <row r="18" spans="1:12" ht="16.05" customHeight="1">
      <c r="A18" t="s">
        <v>205</v>
      </c>
      <c r="B18" t="s">
        <v>204</v>
      </c>
      <c r="C18" t="s">
        <v>206</v>
      </c>
      <c r="D18" t="s">
        <v>856</v>
      </c>
      <c r="E18" t="s">
        <v>31</v>
      </c>
      <c r="G18" t="s">
        <v>31</v>
      </c>
      <c r="H18" t="s">
        <v>890</v>
      </c>
      <c r="I18" t="s">
        <v>659</v>
      </c>
      <c r="J18" t="s">
        <v>207</v>
      </c>
      <c r="K18" t="s">
        <v>859</v>
      </c>
      <c r="L18">
        <v>60</v>
      </c>
    </row>
    <row r="19" spans="1:12" ht="16.05" customHeight="1">
      <c r="A19" t="s">
        <v>197</v>
      </c>
      <c r="B19" t="s">
        <v>196</v>
      </c>
      <c r="C19" t="s">
        <v>198</v>
      </c>
      <c r="D19" t="s">
        <v>856</v>
      </c>
      <c r="E19" t="s">
        <v>31</v>
      </c>
      <c r="G19" t="s">
        <v>31</v>
      </c>
      <c r="H19" t="s">
        <v>878</v>
      </c>
      <c r="I19" t="s">
        <v>202</v>
      </c>
      <c r="J19" t="s">
        <v>199</v>
      </c>
      <c r="K19" t="s">
        <v>859</v>
      </c>
      <c r="L19">
        <v>62</v>
      </c>
    </row>
    <row r="20" spans="1:12" ht="16.05" customHeight="1">
      <c r="A20" t="s">
        <v>140</v>
      </c>
      <c r="B20" t="s">
        <v>139</v>
      </c>
      <c r="C20" t="s">
        <v>141</v>
      </c>
      <c r="D20" t="s">
        <v>856</v>
      </c>
      <c r="E20" t="s">
        <v>31</v>
      </c>
      <c r="G20" t="s">
        <v>31</v>
      </c>
      <c r="H20" t="s">
        <v>873</v>
      </c>
      <c r="I20" t="s">
        <v>202</v>
      </c>
      <c r="J20" t="s">
        <v>142</v>
      </c>
      <c r="K20" t="s">
        <v>859</v>
      </c>
      <c r="L20">
        <v>65</v>
      </c>
    </row>
    <row r="21" spans="1:12" ht="16.05" customHeight="1">
      <c r="A21" t="s">
        <v>211</v>
      </c>
      <c r="B21" t="s">
        <v>210</v>
      </c>
      <c r="C21" t="s">
        <v>212</v>
      </c>
      <c r="D21" t="s">
        <v>867</v>
      </c>
      <c r="E21" t="s">
        <v>31</v>
      </c>
      <c r="G21" t="s">
        <v>31</v>
      </c>
      <c r="H21" t="s">
        <v>891</v>
      </c>
      <c r="I21" t="s">
        <v>285</v>
      </c>
      <c r="J21" t="s">
        <v>213</v>
      </c>
      <c r="K21" t="s">
        <v>859</v>
      </c>
      <c r="L21">
        <v>68</v>
      </c>
    </row>
    <row r="22" spans="1:12" ht="16.05" customHeight="1">
      <c r="A22" t="s">
        <v>218</v>
      </c>
      <c r="B22" t="s">
        <v>217</v>
      </c>
      <c r="C22" t="s">
        <v>219</v>
      </c>
      <c r="D22" t="s">
        <v>856</v>
      </c>
      <c r="E22" t="s">
        <v>31</v>
      </c>
      <c r="G22" t="s">
        <v>31</v>
      </c>
      <c r="H22" t="s">
        <v>870</v>
      </c>
      <c r="I22" t="s">
        <v>202</v>
      </c>
      <c r="J22" t="s">
        <v>220</v>
      </c>
      <c r="K22" t="s">
        <v>859</v>
      </c>
      <c r="L22">
        <v>80</v>
      </c>
    </row>
    <row r="23" spans="1:12" ht="16.05" customHeight="1">
      <c r="A23" t="s">
        <v>152</v>
      </c>
      <c r="B23" t="s">
        <v>151</v>
      </c>
      <c r="C23" t="s">
        <v>153</v>
      </c>
      <c r="D23" t="s">
        <v>867</v>
      </c>
      <c r="E23" t="s">
        <v>31</v>
      </c>
      <c r="G23" t="s">
        <v>31</v>
      </c>
      <c r="H23" t="s">
        <v>885</v>
      </c>
      <c r="I23" t="s">
        <v>285</v>
      </c>
      <c r="J23" t="s">
        <v>154</v>
      </c>
      <c r="K23" t="s">
        <v>859</v>
      </c>
      <c r="L23">
        <v>78</v>
      </c>
    </row>
    <row r="24" spans="1:12" ht="16.05" customHeight="1">
      <c r="A24" t="s">
        <v>158</v>
      </c>
      <c r="B24" t="s">
        <v>157</v>
      </c>
      <c r="C24" t="s">
        <v>159</v>
      </c>
      <c r="D24" t="s">
        <v>860</v>
      </c>
      <c r="E24" t="s">
        <v>31</v>
      </c>
      <c r="G24" t="s">
        <v>31</v>
      </c>
      <c r="H24" t="s">
        <v>861</v>
      </c>
      <c r="I24" t="s">
        <v>167</v>
      </c>
      <c r="J24" t="s">
        <v>160</v>
      </c>
      <c r="K24" t="s">
        <v>859</v>
      </c>
      <c r="L24">
        <v>87</v>
      </c>
    </row>
    <row r="25" spans="1:12" ht="16.05" customHeight="1">
      <c r="A25" t="s">
        <v>146</v>
      </c>
      <c r="B25" t="s">
        <v>145</v>
      </c>
      <c r="C25" t="s">
        <v>147</v>
      </c>
      <c r="D25" t="s">
        <v>856</v>
      </c>
      <c r="E25" t="s">
        <v>31</v>
      </c>
      <c r="G25" t="s">
        <v>31</v>
      </c>
      <c r="H25" t="s">
        <v>878</v>
      </c>
      <c r="I25" t="s">
        <v>202</v>
      </c>
      <c r="J25" t="s">
        <v>148</v>
      </c>
      <c r="K25" t="s">
        <v>859</v>
      </c>
      <c r="L25">
        <v>91</v>
      </c>
    </row>
    <row r="26" spans="1:12" ht="16.05" customHeight="1">
      <c r="A26" t="s">
        <v>164</v>
      </c>
      <c r="B26" t="s">
        <v>162</v>
      </c>
      <c r="C26" t="s">
        <v>165</v>
      </c>
      <c r="D26" t="s">
        <v>867</v>
      </c>
      <c r="E26" t="s">
        <v>31</v>
      </c>
      <c r="G26" t="s">
        <v>31</v>
      </c>
      <c r="H26" t="s">
        <v>878</v>
      </c>
      <c r="I26" t="s">
        <v>285</v>
      </c>
      <c r="J26" t="s">
        <v>166</v>
      </c>
      <c r="K26" t="s">
        <v>859</v>
      </c>
      <c r="L26">
        <v>93</v>
      </c>
    </row>
    <row r="27" spans="1:12" ht="16.05" customHeight="1">
      <c r="B27" t="s">
        <v>892</v>
      </c>
      <c r="C27" t="s">
        <v>893</v>
      </c>
      <c r="E27" t="s">
        <v>31</v>
      </c>
      <c r="G27" t="s">
        <v>31</v>
      </c>
      <c r="I27" t="s">
        <v>285</v>
      </c>
      <c r="L27">
        <v>103</v>
      </c>
    </row>
    <row r="28" spans="1:12" ht="16.05" customHeight="1">
      <c r="A28" t="s">
        <v>169</v>
      </c>
      <c r="B28" t="s">
        <v>167</v>
      </c>
      <c r="C28" t="s">
        <v>170</v>
      </c>
      <c r="D28" t="s">
        <v>860</v>
      </c>
      <c r="E28" t="s">
        <v>31</v>
      </c>
      <c r="G28" t="s">
        <v>31</v>
      </c>
      <c r="H28" t="s">
        <v>894</v>
      </c>
      <c r="I28" t="s">
        <v>659</v>
      </c>
      <c r="J28" t="s">
        <v>171</v>
      </c>
      <c r="K28" t="s">
        <v>859</v>
      </c>
      <c r="L28">
        <v>104</v>
      </c>
    </row>
    <row r="29" spans="1:12" ht="16.05" customHeight="1">
      <c r="A29" t="s">
        <v>174</v>
      </c>
      <c r="B29" t="s">
        <v>172</v>
      </c>
      <c r="C29" t="s">
        <v>175</v>
      </c>
      <c r="D29" t="s">
        <v>860</v>
      </c>
      <c r="E29" t="s">
        <v>31</v>
      </c>
      <c r="G29" t="s">
        <v>31</v>
      </c>
      <c r="H29" t="s">
        <v>861</v>
      </c>
      <c r="I29" t="s">
        <v>167</v>
      </c>
      <c r="J29" t="s">
        <v>176</v>
      </c>
      <c r="K29" t="s">
        <v>859</v>
      </c>
      <c r="L29">
        <v>108</v>
      </c>
    </row>
    <row r="30" spans="1:12" ht="16.05" customHeight="1">
      <c r="A30" t="s">
        <v>178</v>
      </c>
      <c r="B30" t="s">
        <v>179</v>
      </c>
      <c r="C30" t="s">
        <v>180</v>
      </c>
      <c r="D30" t="s">
        <v>867</v>
      </c>
      <c r="E30" t="s">
        <v>31</v>
      </c>
      <c r="G30" t="s">
        <v>31</v>
      </c>
      <c r="H30" t="s">
        <v>895</v>
      </c>
      <c r="I30" t="s">
        <v>285</v>
      </c>
      <c r="J30" t="s">
        <v>181</v>
      </c>
      <c r="K30" t="s">
        <v>859</v>
      </c>
      <c r="L30">
        <v>113</v>
      </c>
    </row>
    <row r="31" spans="1:12" ht="16.05" customHeight="1">
      <c r="A31" t="s">
        <v>184</v>
      </c>
      <c r="B31" t="s">
        <v>182</v>
      </c>
      <c r="C31" t="s">
        <v>185</v>
      </c>
      <c r="D31" t="s">
        <v>31</v>
      </c>
      <c r="E31" t="s">
        <v>31</v>
      </c>
      <c r="G31" t="s">
        <v>31</v>
      </c>
      <c r="H31" t="s">
        <v>871</v>
      </c>
      <c r="I31" t="s">
        <v>285</v>
      </c>
      <c r="J31" t="s">
        <v>186</v>
      </c>
      <c r="K31" t="s">
        <v>859</v>
      </c>
      <c r="L31">
        <v>116</v>
      </c>
    </row>
    <row r="32" spans="1:12" ht="16.05" customHeight="1">
      <c r="A32" t="s">
        <v>250</v>
      </c>
      <c r="B32" t="s">
        <v>249</v>
      </c>
      <c r="C32" t="s">
        <v>251</v>
      </c>
      <c r="D32" t="s">
        <v>896</v>
      </c>
      <c r="E32" t="s">
        <v>226</v>
      </c>
      <c r="F32" t="s">
        <v>33</v>
      </c>
      <c r="G32" t="s">
        <v>33</v>
      </c>
      <c r="H32" t="s">
        <v>897</v>
      </c>
      <c r="I32" t="s">
        <v>485</v>
      </c>
      <c r="J32" t="s">
        <v>252</v>
      </c>
      <c r="K32" t="s">
        <v>859</v>
      </c>
      <c r="L32">
        <v>101</v>
      </c>
    </row>
    <row r="33" spans="1:12" ht="16.05" customHeight="1">
      <c r="A33" t="s">
        <v>224</v>
      </c>
      <c r="B33" t="s">
        <v>223</v>
      </c>
      <c r="C33" t="s">
        <v>225</v>
      </c>
      <c r="D33" t="s">
        <v>896</v>
      </c>
      <c r="E33" t="s">
        <v>226</v>
      </c>
      <c r="F33" t="s">
        <v>33</v>
      </c>
      <c r="G33" t="s">
        <v>33</v>
      </c>
      <c r="H33" t="s">
        <v>898</v>
      </c>
      <c r="I33" t="s">
        <v>899</v>
      </c>
      <c r="J33" t="s">
        <v>227</v>
      </c>
      <c r="K33" t="s">
        <v>859</v>
      </c>
      <c r="L33">
        <v>12</v>
      </c>
    </row>
    <row r="34" spans="1:12" ht="16.05" customHeight="1">
      <c r="A34" t="s">
        <v>900</v>
      </c>
      <c r="B34" t="s">
        <v>901</v>
      </c>
      <c r="C34" t="s">
        <v>225</v>
      </c>
      <c r="D34" t="s">
        <v>896</v>
      </c>
      <c r="E34" t="s">
        <v>226</v>
      </c>
      <c r="F34" t="s">
        <v>33</v>
      </c>
      <c r="G34" t="s">
        <v>33</v>
      </c>
      <c r="H34" t="s">
        <v>902</v>
      </c>
      <c r="I34" t="s">
        <v>899</v>
      </c>
      <c r="J34" t="s">
        <v>903</v>
      </c>
      <c r="K34" t="s">
        <v>859</v>
      </c>
      <c r="L34">
        <v>15</v>
      </c>
    </row>
    <row r="35" spans="1:12" ht="16.05" customHeight="1">
      <c r="A35" t="s">
        <v>232</v>
      </c>
      <c r="B35" t="s">
        <v>231</v>
      </c>
      <c r="C35" t="s">
        <v>225</v>
      </c>
      <c r="D35" t="s">
        <v>896</v>
      </c>
      <c r="E35" t="s">
        <v>226</v>
      </c>
      <c r="F35" t="s">
        <v>33</v>
      </c>
      <c r="G35" t="s">
        <v>33</v>
      </c>
      <c r="H35" t="s">
        <v>904</v>
      </c>
      <c r="I35" t="s">
        <v>899</v>
      </c>
      <c r="J35" t="s">
        <v>233</v>
      </c>
      <c r="K35" t="s">
        <v>859</v>
      </c>
      <c r="L35">
        <v>25</v>
      </c>
    </row>
    <row r="36" spans="1:12" ht="16.05" customHeight="1">
      <c r="A36" t="s">
        <v>236</v>
      </c>
      <c r="B36" t="s">
        <v>234</v>
      </c>
      <c r="C36" t="s">
        <v>225</v>
      </c>
      <c r="D36" t="s">
        <v>896</v>
      </c>
      <c r="E36" t="s">
        <v>226</v>
      </c>
      <c r="F36" t="s">
        <v>33</v>
      </c>
      <c r="G36" t="s">
        <v>33</v>
      </c>
      <c r="H36" t="s">
        <v>904</v>
      </c>
      <c r="I36" t="s">
        <v>899</v>
      </c>
      <c r="J36" t="s">
        <v>237</v>
      </c>
      <c r="K36" t="s">
        <v>859</v>
      </c>
      <c r="L36">
        <v>49</v>
      </c>
    </row>
    <row r="37" spans="1:12" ht="16.05" customHeight="1">
      <c r="A37" t="s">
        <v>241</v>
      </c>
      <c r="B37" t="s">
        <v>240</v>
      </c>
      <c r="C37" t="s">
        <v>225</v>
      </c>
      <c r="D37" t="s">
        <v>896</v>
      </c>
      <c r="E37" t="s">
        <v>226</v>
      </c>
      <c r="F37" t="s">
        <v>33</v>
      </c>
      <c r="G37" t="s">
        <v>33</v>
      </c>
      <c r="H37" t="s">
        <v>904</v>
      </c>
      <c r="I37" t="s">
        <v>899</v>
      </c>
      <c r="J37" t="s">
        <v>242</v>
      </c>
      <c r="K37" t="s">
        <v>859</v>
      </c>
      <c r="L37">
        <v>88</v>
      </c>
    </row>
    <row r="38" spans="1:12" ht="16.05" customHeight="1">
      <c r="A38" t="s">
        <v>900</v>
      </c>
      <c r="B38" t="s">
        <v>905</v>
      </c>
      <c r="D38" t="s">
        <v>896</v>
      </c>
      <c r="E38" t="s">
        <v>226</v>
      </c>
      <c r="F38" t="s">
        <v>33</v>
      </c>
      <c r="G38" t="s">
        <v>33</v>
      </c>
      <c r="H38" t="s">
        <v>906</v>
      </c>
      <c r="I38" t="s">
        <v>899</v>
      </c>
      <c r="J38" t="s">
        <v>907</v>
      </c>
      <c r="K38" t="s">
        <v>859</v>
      </c>
      <c r="L38">
        <v>97</v>
      </c>
    </row>
    <row r="39" spans="1:12" ht="16.05" customHeight="1">
      <c r="A39" t="s">
        <v>245</v>
      </c>
      <c r="B39" t="s">
        <v>243</v>
      </c>
      <c r="C39" t="s">
        <v>225</v>
      </c>
      <c r="D39" t="s">
        <v>896</v>
      </c>
      <c r="E39" t="s">
        <v>226</v>
      </c>
      <c r="F39" t="s">
        <v>33</v>
      </c>
      <c r="G39" t="s">
        <v>33</v>
      </c>
      <c r="H39" t="s">
        <v>906</v>
      </c>
      <c r="I39" t="s">
        <v>899</v>
      </c>
      <c r="J39" t="s">
        <v>246</v>
      </c>
      <c r="K39" t="s">
        <v>859</v>
      </c>
      <c r="L39">
        <v>99</v>
      </c>
    </row>
    <row r="40" spans="1:12" ht="16.05" customHeight="1">
      <c r="A40" t="s">
        <v>256</v>
      </c>
      <c r="B40" t="s">
        <v>254</v>
      </c>
      <c r="C40" t="s">
        <v>257</v>
      </c>
      <c r="D40" t="s">
        <v>896</v>
      </c>
      <c r="E40" t="s">
        <v>226</v>
      </c>
      <c r="F40" t="s">
        <v>32</v>
      </c>
      <c r="G40" t="s">
        <v>32</v>
      </c>
      <c r="H40" t="s">
        <v>904</v>
      </c>
      <c r="I40" t="s">
        <v>270</v>
      </c>
      <c r="J40" t="s">
        <v>258</v>
      </c>
      <c r="K40" t="s">
        <v>859</v>
      </c>
      <c r="L40">
        <v>28</v>
      </c>
    </row>
    <row r="41" spans="1:12" ht="16.05" customHeight="1">
      <c r="A41" t="s">
        <v>261</v>
      </c>
      <c r="B41" t="s">
        <v>259</v>
      </c>
      <c r="C41" t="s">
        <v>262</v>
      </c>
      <c r="D41" t="s">
        <v>896</v>
      </c>
      <c r="E41" t="s">
        <v>226</v>
      </c>
      <c r="F41" t="s">
        <v>32</v>
      </c>
      <c r="G41" t="s">
        <v>32</v>
      </c>
      <c r="H41" t="s">
        <v>904</v>
      </c>
      <c r="I41" t="s">
        <v>270</v>
      </c>
      <c r="J41" t="s">
        <v>263</v>
      </c>
      <c r="K41" t="s">
        <v>859</v>
      </c>
      <c r="L41">
        <v>40</v>
      </c>
    </row>
    <row r="42" spans="1:12" ht="16.05" customHeight="1">
      <c r="A42" t="s">
        <v>267</v>
      </c>
      <c r="B42" t="s">
        <v>266</v>
      </c>
      <c r="C42" t="s">
        <v>268</v>
      </c>
      <c r="D42" t="s">
        <v>896</v>
      </c>
      <c r="E42" t="s">
        <v>226</v>
      </c>
      <c r="F42" t="s">
        <v>32</v>
      </c>
      <c r="G42" t="s">
        <v>32</v>
      </c>
      <c r="H42" t="s">
        <v>904</v>
      </c>
      <c r="I42" t="s">
        <v>270</v>
      </c>
      <c r="J42" t="s">
        <v>269</v>
      </c>
      <c r="K42" t="s">
        <v>859</v>
      </c>
      <c r="L42">
        <v>41</v>
      </c>
    </row>
    <row r="43" spans="1:12" ht="16.05" customHeight="1">
      <c r="A43" t="s">
        <v>273</v>
      </c>
      <c r="B43" t="s">
        <v>272</v>
      </c>
      <c r="C43" t="s">
        <v>274</v>
      </c>
      <c r="D43" t="s">
        <v>896</v>
      </c>
      <c r="E43" t="s">
        <v>226</v>
      </c>
      <c r="F43" t="s">
        <v>32</v>
      </c>
      <c r="G43" t="s">
        <v>32</v>
      </c>
      <c r="H43" t="s">
        <v>908</v>
      </c>
      <c r="I43" t="s">
        <v>485</v>
      </c>
      <c r="J43" t="s">
        <v>275</v>
      </c>
      <c r="K43" t="s">
        <v>859</v>
      </c>
      <c r="L43">
        <v>106</v>
      </c>
    </row>
    <row r="44" spans="1:12" ht="16.05" customHeight="1">
      <c r="A44" t="s">
        <v>287</v>
      </c>
      <c r="B44" t="s">
        <v>285</v>
      </c>
      <c r="C44" t="s">
        <v>288</v>
      </c>
      <c r="D44" t="s">
        <v>867</v>
      </c>
      <c r="E44" t="s">
        <v>289</v>
      </c>
      <c r="G44" t="s">
        <v>30</v>
      </c>
      <c r="H44" t="s">
        <v>909</v>
      </c>
      <c r="I44" t="s">
        <v>659</v>
      </c>
      <c r="J44" t="s">
        <v>290</v>
      </c>
      <c r="K44" t="s">
        <v>859</v>
      </c>
      <c r="L44">
        <v>2</v>
      </c>
    </row>
    <row r="45" spans="1:12" ht="16.05" customHeight="1">
      <c r="A45" t="s">
        <v>295</v>
      </c>
      <c r="B45" t="s">
        <v>294</v>
      </c>
      <c r="C45" t="s">
        <v>296</v>
      </c>
      <c r="D45" t="s">
        <v>896</v>
      </c>
      <c r="E45" t="s">
        <v>226</v>
      </c>
      <c r="F45" t="s">
        <v>297</v>
      </c>
      <c r="G45" t="s">
        <v>30</v>
      </c>
      <c r="H45" t="s">
        <v>910</v>
      </c>
      <c r="I45" t="s">
        <v>537</v>
      </c>
      <c r="J45" t="s">
        <v>298</v>
      </c>
      <c r="K45" t="s">
        <v>859</v>
      </c>
      <c r="L45">
        <v>3</v>
      </c>
    </row>
    <row r="46" spans="1:12" ht="16.05" customHeight="1">
      <c r="A46" t="s">
        <v>579</v>
      </c>
      <c r="B46" t="s">
        <v>578</v>
      </c>
      <c r="C46" t="s">
        <v>580</v>
      </c>
      <c r="D46" t="s">
        <v>896</v>
      </c>
      <c r="E46" t="s">
        <v>289</v>
      </c>
      <c r="F46" t="s">
        <v>404</v>
      </c>
      <c r="G46" t="s">
        <v>30</v>
      </c>
      <c r="H46" t="s">
        <v>904</v>
      </c>
      <c r="I46" t="s">
        <v>688</v>
      </c>
      <c r="J46" t="s">
        <v>581</v>
      </c>
      <c r="K46" t="s">
        <v>859</v>
      </c>
      <c r="L46">
        <v>4</v>
      </c>
    </row>
    <row r="47" spans="1:12" ht="16.05" customHeight="1">
      <c r="A47" t="s">
        <v>303</v>
      </c>
      <c r="B47" t="s">
        <v>302</v>
      </c>
      <c r="C47" t="s">
        <v>304</v>
      </c>
      <c r="D47" t="s">
        <v>896</v>
      </c>
      <c r="E47" t="s">
        <v>289</v>
      </c>
      <c r="F47" t="s">
        <v>305</v>
      </c>
      <c r="G47" t="s">
        <v>30</v>
      </c>
      <c r="H47" t="s">
        <v>911</v>
      </c>
      <c r="I47" t="s">
        <v>610</v>
      </c>
      <c r="J47" t="s">
        <v>306</v>
      </c>
      <c r="K47" t="s">
        <v>859</v>
      </c>
      <c r="L47">
        <v>5</v>
      </c>
    </row>
    <row r="48" spans="1:12" ht="16.05" customHeight="1">
      <c r="A48" t="s">
        <v>310</v>
      </c>
      <c r="B48" t="s">
        <v>308</v>
      </c>
      <c r="C48" t="s">
        <v>311</v>
      </c>
      <c r="D48" t="s">
        <v>896</v>
      </c>
      <c r="E48" t="s">
        <v>289</v>
      </c>
      <c r="F48" t="s">
        <v>312</v>
      </c>
      <c r="G48" t="s">
        <v>30</v>
      </c>
      <c r="H48" t="s">
        <v>912</v>
      </c>
      <c r="I48" t="s">
        <v>641</v>
      </c>
      <c r="J48" t="s">
        <v>313</v>
      </c>
      <c r="K48" t="s">
        <v>859</v>
      </c>
      <c r="L48">
        <v>6</v>
      </c>
    </row>
    <row r="49" spans="1:12" ht="16.05" customHeight="1">
      <c r="A49" t="s">
        <v>317</v>
      </c>
      <c r="B49" t="s">
        <v>316</v>
      </c>
      <c r="C49" t="s">
        <v>318</v>
      </c>
      <c r="D49" t="s">
        <v>896</v>
      </c>
      <c r="E49" t="s">
        <v>289</v>
      </c>
      <c r="F49" t="s">
        <v>319</v>
      </c>
      <c r="G49" t="s">
        <v>30</v>
      </c>
      <c r="H49" t="s">
        <v>913</v>
      </c>
      <c r="I49" t="s">
        <v>537</v>
      </c>
      <c r="J49" t="s">
        <v>320</v>
      </c>
      <c r="K49" t="s">
        <v>859</v>
      </c>
      <c r="L49">
        <v>8</v>
      </c>
    </row>
    <row r="50" spans="1:12" ht="16.05" customHeight="1">
      <c r="A50" t="s">
        <v>325</v>
      </c>
      <c r="B50" t="s">
        <v>324</v>
      </c>
      <c r="C50" t="s">
        <v>326</v>
      </c>
      <c r="D50" t="s">
        <v>896</v>
      </c>
      <c r="E50" t="s">
        <v>226</v>
      </c>
      <c r="F50" t="s">
        <v>327</v>
      </c>
      <c r="G50" t="s">
        <v>30</v>
      </c>
      <c r="H50" t="s">
        <v>914</v>
      </c>
      <c r="I50" t="s">
        <v>532</v>
      </c>
      <c r="J50" t="s">
        <v>328</v>
      </c>
      <c r="K50" t="s">
        <v>859</v>
      </c>
      <c r="L50">
        <v>9</v>
      </c>
    </row>
    <row r="51" spans="1:12" ht="16.05" customHeight="1">
      <c r="A51" t="s">
        <v>331</v>
      </c>
      <c r="B51" t="s">
        <v>329</v>
      </c>
      <c r="C51" t="s">
        <v>332</v>
      </c>
      <c r="D51" t="s">
        <v>896</v>
      </c>
      <c r="E51" t="s">
        <v>226</v>
      </c>
      <c r="F51" t="s">
        <v>333</v>
      </c>
      <c r="G51" t="s">
        <v>30</v>
      </c>
      <c r="H51" t="s">
        <v>915</v>
      </c>
      <c r="I51" t="s">
        <v>659</v>
      </c>
      <c r="J51" t="s">
        <v>334</v>
      </c>
      <c r="K51" t="s">
        <v>916</v>
      </c>
      <c r="L51">
        <v>10</v>
      </c>
    </row>
    <row r="52" spans="1:12" ht="16.05" customHeight="1">
      <c r="A52" t="s">
        <v>338</v>
      </c>
      <c r="B52" t="s">
        <v>336</v>
      </c>
      <c r="C52" t="s">
        <v>339</v>
      </c>
      <c r="D52" t="s">
        <v>896</v>
      </c>
      <c r="E52" t="s">
        <v>289</v>
      </c>
      <c r="F52" t="s">
        <v>327</v>
      </c>
      <c r="G52" t="s">
        <v>30</v>
      </c>
      <c r="H52" t="s">
        <v>911</v>
      </c>
      <c r="I52" t="s">
        <v>322</v>
      </c>
      <c r="J52" t="s">
        <v>340</v>
      </c>
      <c r="K52" t="s">
        <v>859</v>
      </c>
      <c r="L52">
        <v>14</v>
      </c>
    </row>
    <row r="53" spans="1:12" ht="16.05" customHeight="1">
      <c r="A53" t="s">
        <v>343</v>
      </c>
      <c r="B53" t="s">
        <v>341</v>
      </c>
      <c r="C53" t="s">
        <v>344</v>
      </c>
      <c r="D53" t="s">
        <v>896</v>
      </c>
      <c r="E53" t="s">
        <v>226</v>
      </c>
      <c r="F53" t="s">
        <v>327</v>
      </c>
      <c r="G53" t="s">
        <v>30</v>
      </c>
      <c r="H53" t="s">
        <v>917</v>
      </c>
      <c r="I53" t="s">
        <v>322</v>
      </c>
      <c r="J53" t="s">
        <v>345</v>
      </c>
      <c r="K53" t="s">
        <v>859</v>
      </c>
      <c r="L53">
        <v>70</v>
      </c>
    </row>
    <row r="54" spans="1:12" ht="16.05" customHeight="1">
      <c r="A54" t="s">
        <v>353</v>
      </c>
      <c r="B54" t="s">
        <v>354</v>
      </c>
      <c r="C54" t="s">
        <v>355</v>
      </c>
      <c r="D54" t="s">
        <v>896</v>
      </c>
      <c r="E54" t="s">
        <v>289</v>
      </c>
      <c r="F54" t="s">
        <v>333</v>
      </c>
      <c r="G54" t="s">
        <v>30</v>
      </c>
      <c r="H54" t="s">
        <v>918</v>
      </c>
      <c r="I54" t="s">
        <v>592</v>
      </c>
      <c r="J54" t="s">
        <v>356</v>
      </c>
      <c r="K54" t="s">
        <v>859</v>
      </c>
      <c r="L54">
        <v>16</v>
      </c>
    </row>
    <row r="55" spans="1:12" ht="16.05" customHeight="1">
      <c r="A55" t="s">
        <v>360</v>
      </c>
      <c r="B55" t="s">
        <v>358</v>
      </c>
      <c r="C55" t="s">
        <v>361</v>
      </c>
      <c r="D55" t="s">
        <v>896</v>
      </c>
      <c r="E55" t="s">
        <v>289</v>
      </c>
      <c r="F55" t="s">
        <v>305</v>
      </c>
      <c r="G55" t="s">
        <v>30</v>
      </c>
      <c r="H55" t="s">
        <v>904</v>
      </c>
      <c r="I55" t="s">
        <v>919</v>
      </c>
      <c r="J55" t="s">
        <v>252</v>
      </c>
      <c r="K55" t="s">
        <v>859</v>
      </c>
      <c r="L55">
        <v>20</v>
      </c>
    </row>
    <row r="56" spans="1:12" ht="16.05" customHeight="1">
      <c r="A56" t="s">
        <v>365</v>
      </c>
      <c r="B56" t="s">
        <v>364</v>
      </c>
      <c r="C56" t="s">
        <v>366</v>
      </c>
      <c r="D56" t="s">
        <v>896</v>
      </c>
      <c r="E56" t="s">
        <v>226</v>
      </c>
      <c r="F56" t="s">
        <v>367</v>
      </c>
      <c r="G56" t="s">
        <v>30</v>
      </c>
      <c r="H56" t="s">
        <v>911</v>
      </c>
      <c r="I56" t="s">
        <v>532</v>
      </c>
      <c r="J56" t="s">
        <v>368</v>
      </c>
      <c r="K56" t="s">
        <v>859</v>
      </c>
      <c r="L56">
        <v>17</v>
      </c>
    </row>
    <row r="57" spans="1:12" ht="16.05" customHeight="1">
      <c r="A57" t="s">
        <v>371</v>
      </c>
      <c r="B57" t="s">
        <v>369</v>
      </c>
      <c r="C57" t="s">
        <v>372</v>
      </c>
      <c r="D57" t="s">
        <v>896</v>
      </c>
      <c r="E57" t="s">
        <v>289</v>
      </c>
      <c r="F57" t="s">
        <v>373</v>
      </c>
      <c r="G57" t="s">
        <v>30</v>
      </c>
      <c r="H57" t="s">
        <v>920</v>
      </c>
      <c r="I57" t="s">
        <v>921</v>
      </c>
      <c r="J57" t="s">
        <v>374</v>
      </c>
      <c r="K57" t="s">
        <v>859</v>
      </c>
      <c r="L57">
        <v>18</v>
      </c>
    </row>
    <row r="58" spans="1:12" ht="16.05" customHeight="1">
      <c r="A58" t="s">
        <v>799</v>
      </c>
      <c r="B58" t="s">
        <v>922</v>
      </c>
      <c r="C58" t="s">
        <v>923</v>
      </c>
      <c r="D58" t="s">
        <v>896</v>
      </c>
      <c r="E58" t="s">
        <v>226</v>
      </c>
      <c r="F58" t="s">
        <v>333</v>
      </c>
      <c r="G58" t="s">
        <v>30</v>
      </c>
      <c r="H58" t="s">
        <v>924</v>
      </c>
      <c r="I58" t="s">
        <v>592</v>
      </c>
      <c r="J58" t="s">
        <v>596</v>
      </c>
      <c r="K58" t="s">
        <v>859</v>
      </c>
      <c r="L58">
        <v>19</v>
      </c>
    </row>
    <row r="59" spans="1:12" ht="16.05" customHeight="1">
      <c r="A59" t="s">
        <v>384</v>
      </c>
      <c r="B59" t="s">
        <v>382</v>
      </c>
      <c r="C59" t="s">
        <v>385</v>
      </c>
      <c r="D59" t="s">
        <v>896</v>
      </c>
      <c r="E59" t="s">
        <v>289</v>
      </c>
      <c r="F59" t="s">
        <v>386</v>
      </c>
      <c r="G59" t="s">
        <v>30</v>
      </c>
      <c r="H59" t="s">
        <v>925</v>
      </c>
      <c r="I59" t="s">
        <v>641</v>
      </c>
      <c r="J59" t="s">
        <v>387</v>
      </c>
      <c r="K59" t="s">
        <v>859</v>
      </c>
      <c r="L59">
        <v>24</v>
      </c>
    </row>
    <row r="60" spans="1:12" ht="16.05" customHeight="1">
      <c r="A60" t="s">
        <v>391</v>
      </c>
      <c r="B60" t="s">
        <v>389</v>
      </c>
      <c r="C60" t="s">
        <v>392</v>
      </c>
      <c r="D60" t="s">
        <v>896</v>
      </c>
      <c r="E60" t="s">
        <v>226</v>
      </c>
      <c r="F60" t="s">
        <v>386</v>
      </c>
      <c r="G60" t="s">
        <v>30</v>
      </c>
      <c r="H60" t="s">
        <v>926</v>
      </c>
      <c r="I60" t="s">
        <v>314</v>
      </c>
      <c r="J60" t="s">
        <v>393</v>
      </c>
      <c r="K60" t="s">
        <v>859</v>
      </c>
      <c r="L60">
        <v>26</v>
      </c>
    </row>
    <row r="61" spans="1:12" ht="16.05" customHeight="1">
      <c r="A61" t="s">
        <v>397</v>
      </c>
      <c r="B61" t="s">
        <v>395</v>
      </c>
      <c r="C61" t="s">
        <v>398</v>
      </c>
      <c r="D61" t="s">
        <v>896</v>
      </c>
      <c r="E61" t="s">
        <v>289</v>
      </c>
      <c r="F61" t="s">
        <v>327</v>
      </c>
      <c r="G61" t="s">
        <v>30</v>
      </c>
      <c r="H61" t="s">
        <v>911</v>
      </c>
      <c r="I61" t="s">
        <v>322</v>
      </c>
      <c r="J61" t="s">
        <v>399</v>
      </c>
      <c r="K61" t="s">
        <v>859</v>
      </c>
      <c r="L61">
        <v>27</v>
      </c>
    </row>
    <row r="62" spans="1:12" ht="16.05" customHeight="1">
      <c r="A62" t="s">
        <v>402</v>
      </c>
      <c r="B62" t="s">
        <v>400</v>
      </c>
      <c r="C62" t="s">
        <v>403</v>
      </c>
      <c r="D62" t="s">
        <v>896</v>
      </c>
      <c r="E62" t="s">
        <v>289</v>
      </c>
      <c r="F62" t="s">
        <v>404</v>
      </c>
      <c r="G62" t="s">
        <v>30</v>
      </c>
      <c r="H62" t="s">
        <v>904</v>
      </c>
      <c r="I62" t="s">
        <v>688</v>
      </c>
      <c r="J62" t="s">
        <v>405</v>
      </c>
      <c r="K62" t="s">
        <v>859</v>
      </c>
      <c r="L62">
        <v>29</v>
      </c>
    </row>
    <row r="63" spans="1:12" ht="16.05" customHeight="1">
      <c r="A63" t="s">
        <v>408</v>
      </c>
      <c r="B63" t="s">
        <v>406</v>
      </c>
      <c r="C63" t="s">
        <v>409</v>
      </c>
      <c r="D63" t="s">
        <v>896</v>
      </c>
      <c r="E63" t="s">
        <v>289</v>
      </c>
      <c r="F63" t="s">
        <v>386</v>
      </c>
      <c r="G63" t="s">
        <v>30</v>
      </c>
      <c r="H63" t="s">
        <v>911</v>
      </c>
      <c r="I63" t="s">
        <v>412</v>
      </c>
      <c r="J63" t="s">
        <v>410</v>
      </c>
      <c r="K63" t="s">
        <v>859</v>
      </c>
      <c r="L63">
        <v>30</v>
      </c>
    </row>
    <row r="64" spans="1:12" ht="16.05" customHeight="1">
      <c r="A64" t="s">
        <v>415</v>
      </c>
      <c r="B64" t="s">
        <v>414</v>
      </c>
      <c r="C64" t="s">
        <v>416</v>
      </c>
      <c r="D64" t="s">
        <v>896</v>
      </c>
      <c r="E64" t="s">
        <v>226</v>
      </c>
      <c r="F64" t="s">
        <v>333</v>
      </c>
      <c r="G64" t="s">
        <v>30</v>
      </c>
      <c r="H64" t="s">
        <v>927</v>
      </c>
      <c r="I64" t="s">
        <v>329</v>
      </c>
      <c r="J64" t="s">
        <v>417</v>
      </c>
      <c r="K64" t="s">
        <v>859</v>
      </c>
      <c r="L64">
        <v>31</v>
      </c>
    </row>
    <row r="65" spans="1:12" ht="16.05" customHeight="1">
      <c r="A65" t="s">
        <v>420</v>
      </c>
      <c r="B65" t="s">
        <v>421</v>
      </c>
      <c r="C65" t="s">
        <v>422</v>
      </c>
      <c r="D65" t="s">
        <v>896</v>
      </c>
      <c r="E65" t="s">
        <v>226</v>
      </c>
      <c r="F65" t="s">
        <v>373</v>
      </c>
      <c r="G65" t="s">
        <v>30</v>
      </c>
      <c r="H65" t="s">
        <v>926</v>
      </c>
      <c r="I65" t="s">
        <v>641</v>
      </c>
      <c r="J65" t="s">
        <v>423</v>
      </c>
      <c r="K65" t="s">
        <v>859</v>
      </c>
      <c r="L65">
        <v>34</v>
      </c>
    </row>
    <row r="66" spans="1:12" ht="16.05" customHeight="1">
      <c r="A66" t="s">
        <v>427</v>
      </c>
      <c r="B66" t="s">
        <v>425</v>
      </c>
      <c r="C66" t="s">
        <v>428</v>
      </c>
      <c r="D66" t="s">
        <v>896</v>
      </c>
      <c r="E66" t="s">
        <v>289</v>
      </c>
      <c r="F66" t="s">
        <v>429</v>
      </c>
      <c r="G66" t="s">
        <v>30</v>
      </c>
      <c r="H66" t="s">
        <v>904</v>
      </c>
      <c r="I66" t="s">
        <v>928</v>
      </c>
      <c r="J66" t="s">
        <v>430</v>
      </c>
      <c r="K66" t="s">
        <v>859</v>
      </c>
      <c r="L66">
        <v>35</v>
      </c>
    </row>
    <row r="67" spans="1:12" ht="16.05" customHeight="1">
      <c r="A67" t="s">
        <v>447</v>
      </c>
      <c r="B67" t="s">
        <v>448</v>
      </c>
      <c r="C67" t="s">
        <v>449</v>
      </c>
      <c r="D67" t="s">
        <v>896</v>
      </c>
      <c r="E67" t="s">
        <v>226</v>
      </c>
      <c r="F67" t="s">
        <v>319</v>
      </c>
      <c r="G67" t="s">
        <v>30</v>
      </c>
      <c r="H67" t="s">
        <v>929</v>
      </c>
      <c r="I67" t="s">
        <v>314</v>
      </c>
      <c r="J67" t="s">
        <v>450</v>
      </c>
      <c r="K67" t="s">
        <v>859</v>
      </c>
      <c r="L67">
        <v>38</v>
      </c>
    </row>
    <row r="68" spans="1:12" ht="16.05" customHeight="1">
      <c r="A68" t="s">
        <v>471</v>
      </c>
      <c r="B68" t="s">
        <v>470</v>
      </c>
      <c r="C68" t="s">
        <v>472</v>
      </c>
      <c r="D68" t="s">
        <v>860</v>
      </c>
      <c r="E68" t="s">
        <v>289</v>
      </c>
      <c r="G68" t="s">
        <v>30</v>
      </c>
      <c r="H68" t="s">
        <v>930</v>
      </c>
      <c r="I68" t="s">
        <v>167</v>
      </c>
      <c r="J68" t="s">
        <v>473</v>
      </c>
      <c r="K68" t="s">
        <v>859</v>
      </c>
      <c r="L68">
        <v>47</v>
      </c>
    </row>
    <row r="69" spans="1:12" ht="16.05" customHeight="1">
      <c r="A69" t="s">
        <v>931</v>
      </c>
      <c r="B69" t="s">
        <v>932</v>
      </c>
      <c r="C69" t="s">
        <v>933</v>
      </c>
      <c r="D69" t="s">
        <v>31</v>
      </c>
      <c r="E69" t="s">
        <v>289</v>
      </c>
      <c r="G69" t="s">
        <v>30</v>
      </c>
      <c r="H69" t="s">
        <v>934</v>
      </c>
      <c r="I69" t="s">
        <v>285</v>
      </c>
      <c r="J69" t="s">
        <v>935</v>
      </c>
      <c r="K69" t="s">
        <v>859</v>
      </c>
      <c r="L69">
        <v>43</v>
      </c>
    </row>
    <row r="70" spans="1:12" ht="16.05" customHeight="1">
      <c r="A70" t="s">
        <v>454</v>
      </c>
      <c r="B70" t="s">
        <v>452</v>
      </c>
      <c r="C70" t="s">
        <v>455</v>
      </c>
      <c r="D70" t="s">
        <v>896</v>
      </c>
      <c r="E70" t="s">
        <v>226</v>
      </c>
      <c r="F70" t="s">
        <v>373</v>
      </c>
      <c r="G70" t="s">
        <v>30</v>
      </c>
      <c r="H70" t="s">
        <v>911</v>
      </c>
      <c r="I70" t="s">
        <v>921</v>
      </c>
      <c r="J70" t="s">
        <v>456</v>
      </c>
      <c r="K70" t="s">
        <v>859</v>
      </c>
      <c r="L70">
        <v>44</v>
      </c>
    </row>
    <row r="71" spans="1:12" ht="16.05" customHeight="1">
      <c r="A71" t="s">
        <v>459</v>
      </c>
      <c r="B71" t="s">
        <v>457</v>
      </c>
      <c r="C71" t="s">
        <v>460</v>
      </c>
      <c r="D71" t="s">
        <v>896</v>
      </c>
      <c r="E71" t="s">
        <v>289</v>
      </c>
      <c r="F71" t="s">
        <v>373</v>
      </c>
      <c r="G71" t="s">
        <v>30</v>
      </c>
      <c r="H71" t="s">
        <v>911</v>
      </c>
      <c r="I71" t="s">
        <v>921</v>
      </c>
      <c r="J71" t="s">
        <v>461</v>
      </c>
      <c r="K71" t="s">
        <v>859</v>
      </c>
      <c r="L71">
        <v>45</v>
      </c>
    </row>
    <row r="72" spans="1:12" ht="16.05" customHeight="1">
      <c r="A72" t="s">
        <v>464</v>
      </c>
      <c r="B72" t="s">
        <v>462</v>
      </c>
      <c r="C72" t="s">
        <v>465</v>
      </c>
      <c r="D72" t="s">
        <v>896</v>
      </c>
      <c r="E72" t="s">
        <v>289</v>
      </c>
      <c r="F72" t="s">
        <v>466</v>
      </c>
      <c r="G72" t="s">
        <v>30</v>
      </c>
      <c r="H72" t="s">
        <v>925</v>
      </c>
      <c r="I72" t="s">
        <v>641</v>
      </c>
      <c r="J72" t="s">
        <v>467</v>
      </c>
      <c r="K72" t="s">
        <v>859</v>
      </c>
      <c r="L72">
        <v>46</v>
      </c>
    </row>
    <row r="73" spans="1:12" ht="16.05" customHeight="1">
      <c r="A73" t="s">
        <v>476</v>
      </c>
      <c r="B73" t="s">
        <v>474</v>
      </c>
      <c r="C73" t="s">
        <v>477</v>
      </c>
      <c r="D73" t="s">
        <v>867</v>
      </c>
      <c r="E73" t="s">
        <v>289</v>
      </c>
      <c r="G73" t="s">
        <v>30</v>
      </c>
      <c r="H73" t="s">
        <v>936</v>
      </c>
      <c r="I73" t="s">
        <v>285</v>
      </c>
      <c r="J73" t="s">
        <v>478</v>
      </c>
      <c r="K73" t="s">
        <v>859</v>
      </c>
      <c r="L73">
        <v>48</v>
      </c>
    </row>
    <row r="74" spans="1:12" ht="16.05" customHeight="1">
      <c r="A74" t="s">
        <v>486</v>
      </c>
      <c r="B74" t="s">
        <v>487</v>
      </c>
      <c r="C74" t="s">
        <v>488</v>
      </c>
      <c r="D74" t="s">
        <v>896</v>
      </c>
      <c r="E74" t="s">
        <v>226</v>
      </c>
      <c r="F74" t="s">
        <v>333</v>
      </c>
      <c r="G74" t="s">
        <v>30</v>
      </c>
      <c r="H74" t="s">
        <v>937</v>
      </c>
      <c r="I74" t="s">
        <v>659</v>
      </c>
      <c r="J74" t="s">
        <v>489</v>
      </c>
      <c r="K74" t="s">
        <v>859</v>
      </c>
      <c r="L74">
        <v>51</v>
      </c>
    </row>
    <row r="75" spans="1:12" ht="16.05" customHeight="1">
      <c r="A75" t="s">
        <v>491</v>
      </c>
      <c r="B75" t="s">
        <v>492</v>
      </c>
      <c r="C75" t="s">
        <v>493</v>
      </c>
      <c r="D75" t="s">
        <v>896</v>
      </c>
      <c r="E75" t="s">
        <v>226</v>
      </c>
      <c r="F75" t="s">
        <v>327</v>
      </c>
      <c r="G75" t="s">
        <v>30</v>
      </c>
      <c r="H75" t="s">
        <v>911</v>
      </c>
      <c r="I75" t="s">
        <v>322</v>
      </c>
      <c r="J75" t="s">
        <v>494</v>
      </c>
      <c r="K75" t="s">
        <v>859</v>
      </c>
      <c r="L75">
        <v>53</v>
      </c>
    </row>
    <row r="76" spans="1:12" ht="16.05" customHeight="1">
      <c r="A76" t="s">
        <v>498</v>
      </c>
      <c r="B76" t="s">
        <v>497</v>
      </c>
      <c r="C76" t="s">
        <v>499</v>
      </c>
      <c r="D76" t="s">
        <v>896</v>
      </c>
      <c r="E76" t="s">
        <v>289</v>
      </c>
      <c r="F76" t="s">
        <v>319</v>
      </c>
      <c r="G76" t="s">
        <v>30</v>
      </c>
      <c r="H76" t="s">
        <v>938</v>
      </c>
      <c r="I76" t="s">
        <v>314</v>
      </c>
      <c r="J76" t="s">
        <v>500</v>
      </c>
      <c r="K76" t="s">
        <v>859</v>
      </c>
      <c r="L76">
        <v>56</v>
      </c>
    </row>
    <row r="77" spans="1:12" ht="16.05" customHeight="1">
      <c r="A77" t="s">
        <v>505</v>
      </c>
      <c r="B77" t="s">
        <v>504</v>
      </c>
      <c r="C77" t="s">
        <v>506</v>
      </c>
      <c r="D77" t="s">
        <v>896</v>
      </c>
      <c r="E77" t="s">
        <v>289</v>
      </c>
      <c r="F77" t="s">
        <v>507</v>
      </c>
      <c r="G77" t="s">
        <v>30</v>
      </c>
      <c r="H77" t="s">
        <v>904</v>
      </c>
      <c r="J77" t="s">
        <v>508</v>
      </c>
      <c r="K77" t="s">
        <v>859</v>
      </c>
      <c r="L77">
        <v>61</v>
      </c>
    </row>
    <row r="78" spans="1:12" ht="16.05" customHeight="1">
      <c r="A78" t="s">
        <v>442</v>
      </c>
      <c r="B78" t="s">
        <v>441</v>
      </c>
      <c r="C78" t="s">
        <v>443</v>
      </c>
      <c r="D78" t="s">
        <v>896</v>
      </c>
      <c r="E78" t="s">
        <v>289</v>
      </c>
      <c r="F78" t="s">
        <v>444</v>
      </c>
      <c r="G78" t="s">
        <v>30</v>
      </c>
      <c r="H78" t="s">
        <v>920</v>
      </c>
      <c r="I78" t="s">
        <v>641</v>
      </c>
      <c r="J78" t="s">
        <v>445</v>
      </c>
      <c r="K78" t="s">
        <v>859</v>
      </c>
      <c r="L78">
        <v>39</v>
      </c>
    </row>
    <row r="79" spans="1:12" ht="16.05" customHeight="1">
      <c r="A79" t="s">
        <v>657</v>
      </c>
      <c r="B79" t="s">
        <v>656</v>
      </c>
      <c r="C79" t="s">
        <v>658</v>
      </c>
      <c r="D79" t="s">
        <v>896</v>
      </c>
      <c r="E79" t="s">
        <v>226</v>
      </c>
      <c r="F79" t="s">
        <v>327</v>
      </c>
      <c r="G79" t="s">
        <v>30</v>
      </c>
      <c r="H79" t="s">
        <v>917</v>
      </c>
      <c r="I79" t="s">
        <v>322</v>
      </c>
      <c r="J79">
        <v>606314865</v>
      </c>
      <c r="K79" t="s">
        <v>859</v>
      </c>
      <c r="L79">
        <v>96</v>
      </c>
    </row>
    <row r="80" spans="1:12" ht="16.05" customHeight="1">
      <c r="A80" t="s">
        <v>512</v>
      </c>
      <c r="B80" t="s">
        <v>511</v>
      </c>
      <c r="C80" t="s">
        <v>513</v>
      </c>
      <c r="D80" t="s">
        <v>860</v>
      </c>
      <c r="E80" t="s">
        <v>289</v>
      </c>
      <c r="G80" t="s">
        <v>30</v>
      </c>
      <c r="H80" t="s">
        <v>930</v>
      </c>
      <c r="I80" t="s">
        <v>167</v>
      </c>
      <c r="J80" t="s">
        <v>514</v>
      </c>
      <c r="K80" t="s">
        <v>859</v>
      </c>
      <c r="L80">
        <v>64</v>
      </c>
    </row>
    <row r="81" spans="1:12" ht="16.05" customHeight="1">
      <c r="A81" t="s">
        <v>548</v>
      </c>
      <c r="B81" t="s">
        <v>547</v>
      </c>
      <c r="C81" t="s">
        <v>549</v>
      </c>
      <c r="D81" t="s">
        <v>896</v>
      </c>
      <c r="E81" t="s">
        <v>289</v>
      </c>
      <c r="F81" t="s">
        <v>550</v>
      </c>
      <c r="G81" t="s">
        <v>30</v>
      </c>
      <c r="H81" t="s">
        <v>912</v>
      </c>
      <c r="I81" t="s">
        <v>641</v>
      </c>
      <c r="J81" t="s">
        <v>551</v>
      </c>
      <c r="K81" t="s">
        <v>859</v>
      </c>
      <c r="L81">
        <v>72</v>
      </c>
    </row>
    <row r="82" spans="1:12" ht="16.05" customHeight="1">
      <c r="A82" t="s">
        <v>517</v>
      </c>
      <c r="B82" t="s">
        <v>515</v>
      </c>
      <c r="C82" t="s">
        <v>518</v>
      </c>
      <c r="D82" t="s">
        <v>896</v>
      </c>
      <c r="E82" t="s">
        <v>226</v>
      </c>
      <c r="F82" t="s">
        <v>367</v>
      </c>
      <c r="G82" t="s">
        <v>30</v>
      </c>
      <c r="H82" t="s">
        <v>911</v>
      </c>
      <c r="I82" t="s">
        <v>532</v>
      </c>
      <c r="J82" t="s">
        <v>519</v>
      </c>
      <c r="K82" t="s">
        <v>859</v>
      </c>
      <c r="L82">
        <v>66</v>
      </c>
    </row>
    <row r="83" spans="1:12" ht="16.05" customHeight="1">
      <c r="A83" t="s">
        <v>521</v>
      </c>
      <c r="B83" t="s">
        <v>520</v>
      </c>
      <c r="C83" t="s">
        <v>522</v>
      </c>
      <c r="D83" t="s">
        <v>896</v>
      </c>
      <c r="E83" t="s">
        <v>289</v>
      </c>
      <c r="F83" t="s">
        <v>333</v>
      </c>
      <c r="G83" t="s">
        <v>30</v>
      </c>
      <c r="H83" t="s">
        <v>939</v>
      </c>
      <c r="I83" t="s">
        <v>314</v>
      </c>
      <c r="J83" t="s">
        <v>523</v>
      </c>
      <c r="K83" t="s">
        <v>859</v>
      </c>
      <c r="L83">
        <v>67</v>
      </c>
    </row>
    <row r="84" spans="1:12" ht="16.05" customHeight="1">
      <c r="A84" t="s">
        <v>527</v>
      </c>
      <c r="B84" t="s">
        <v>525</v>
      </c>
      <c r="C84" t="s">
        <v>528</v>
      </c>
      <c r="D84" t="s">
        <v>867</v>
      </c>
      <c r="E84" t="s">
        <v>289</v>
      </c>
      <c r="F84" t="s">
        <v>404</v>
      </c>
      <c r="G84" t="s">
        <v>30</v>
      </c>
      <c r="H84" t="s">
        <v>925</v>
      </c>
      <c r="I84" t="s">
        <v>688</v>
      </c>
      <c r="J84" t="s">
        <v>529</v>
      </c>
      <c r="K84" t="s">
        <v>859</v>
      </c>
      <c r="L84">
        <v>89</v>
      </c>
    </row>
    <row r="85" spans="1:12" ht="16.05" customHeight="1">
      <c r="A85" t="s">
        <v>533</v>
      </c>
      <c r="B85" t="s">
        <v>532</v>
      </c>
      <c r="C85" t="s">
        <v>534</v>
      </c>
      <c r="D85" t="s">
        <v>896</v>
      </c>
      <c r="E85" t="s">
        <v>226</v>
      </c>
      <c r="F85" t="s">
        <v>535</v>
      </c>
      <c r="G85" t="s">
        <v>30</v>
      </c>
      <c r="H85" t="s">
        <v>925</v>
      </c>
      <c r="I85" t="s">
        <v>641</v>
      </c>
      <c r="J85" t="s">
        <v>536</v>
      </c>
      <c r="K85" t="s">
        <v>859</v>
      </c>
      <c r="L85">
        <v>69</v>
      </c>
    </row>
    <row r="86" spans="1:12" ht="16.05" customHeight="1">
      <c r="A86" t="s">
        <v>540</v>
      </c>
      <c r="B86" t="s">
        <v>539</v>
      </c>
      <c r="C86" t="s">
        <v>541</v>
      </c>
      <c r="D86" t="s">
        <v>896</v>
      </c>
      <c r="E86" t="s">
        <v>226</v>
      </c>
      <c r="F86" t="s">
        <v>333</v>
      </c>
      <c r="G86" t="s">
        <v>30</v>
      </c>
      <c r="H86" t="s">
        <v>940</v>
      </c>
      <c r="I86" t="s">
        <v>329</v>
      </c>
      <c r="K86" t="s">
        <v>916</v>
      </c>
      <c r="L86">
        <v>71</v>
      </c>
    </row>
    <row r="87" spans="1:12" ht="16.05" customHeight="1">
      <c r="A87" t="s">
        <v>555</v>
      </c>
      <c r="B87" t="s">
        <v>554</v>
      </c>
      <c r="C87" t="s">
        <v>556</v>
      </c>
      <c r="D87" t="s">
        <v>896</v>
      </c>
      <c r="E87" t="s">
        <v>289</v>
      </c>
      <c r="F87" t="s">
        <v>557</v>
      </c>
      <c r="G87" t="s">
        <v>30</v>
      </c>
      <c r="H87" t="s">
        <v>904</v>
      </c>
      <c r="I87" t="s">
        <v>314</v>
      </c>
      <c r="J87" t="s">
        <v>558</v>
      </c>
      <c r="K87" t="s">
        <v>859</v>
      </c>
      <c r="L87">
        <v>73</v>
      </c>
    </row>
    <row r="88" spans="1:12" ht="16.05" customHeight="1">
      <c r="A88" t="s">
        <v>561</v>
      </c>
      <c r="B88" t="s">
        <v>559</v>
      </c>
      <c r="C88" t="s">
        <v>562</v>
      </c>
      <c r="D88" t="s">
        <v>896</v>
      </c>
      <c r="E88" t="s">
        <v>289</v>
      </c>
      <c r="F88" t="s">
        <v>333</v>
      </c>
      <c r="G88" t="s">
        <v>30</v>
      </c>
      <c r="H88" t="s">
        <v>924</v>
      </c>
      <c r="I88" t="s">
        <v>714</v>
      </c>
      <c r="J88" t="s">
        <v>563</v>
      </c>
      <c r="K88" t="s">
        <v>859</v>
      </c>
      <c r="L88">
        <v>74</v>
      </c>
    </row>
    <row r="89" spans="1:12" ht="16.05" customHeight="1">
      <c r="A89" t="s">
        <v>567</v>
      </c>
      <c r="B89" t="s">
        <v>565</v>
      </c>
      <c r="C89" t="s">
        <v>568</v>
      </c>
      <c r="D89" t="s">
        <v>896</v>
      </c>
      <c r="E89" t="s">
        <v>289</v>
      </c>
      <c r="F89" t="s">
        <v>386</v>
      </c>
      <c r="G89" t="s">
        <v>30</v>
      </c>
      <c r="H89" t="s">
        <v>941</v>
      </c>
      <c r="I89" t="s">
        <v>329</v>
      </c>
      <c r="J89" t="s">
        <v>569</v>
      </c>
      <c r="K89" t="s">
        <v>859</v>
      </c>
      <c r="L89">
        <v>75</v>
      </c>
    </row>
    <row r="90" spans="1:12" ht="16.05" customHeight="1">
      <c r="A90" t="s">
        <v>573</v>
      </c>
      <c r="B90" t="s">
        <v>572</v>
      </c>
      <c r="C90" t="s">
        <v>574</v>
      </c>
      <c r="D90" t="s">
        <v>896</v>
      </c>
      <c r="E90" t="s">
        <v>289</v>
      </c>
      <c r="F90" t="s">
        <v>333</v>
      </c>
      <c r="G90" t="s">
        <v>30</v>
      </c>
      <c r="H90" t="s">
        <v>924</v>
      </c>
      <c r="I90" t="s">
        <v>592</v>
      </c>
      <c r="J90" t="s">
        <v>575</v>
      </c>
      <c r="K90" t="s">
        <v>859</v>
      </c>
      <c r="L90">
        <v>76</v>
      </c>
    </row>
    <row r="91" spans="1:12" ht="16.05" customHeight="1">
      <c r="A91" t="s">
        <v>588</v>
      </c>
      <c r="B91" t="s">
        <v>587</v>
      </c>
      <c r="C91" t="s">
        <v>589</v>
      </c>
      <c r="D91" t="s">
        <v>896</v>
      </c>
      <c r="E91" t="s">
        <v>289</v>
      </c>
      <c r="F91" t="s">
        <v>590</v>
      </c>
      <c r="G91" t="s">
        <v>30</v>
      </c>
      <c r="H91" t="s">
        <v>904</v>
      </c>
      <c r="I91" t="s">
        <v>762</v>
      </c>
      <c r="J91" t="s">
        <v>591</v>
      </c>
      <c r="K91" t="s">
        <v>859</v>
      </c>
      <c r="L91">
        <v>77</v>
      </c>
    </row>
    <row r="92" spans="1:12" ht="16.05" customHeight="1">
      <c r="A92" t="s">
        <v>594</v>
      </c>
      <c r="B92" t="s">
        <v>592</v>
      </c>
      <c r="C92" t="s">
        <v>595</v>
      </c>
      <c r="D92" t="s">
        <v>896</v>
      </c>
      <c r="E92" t="s">
        <v>289</v>
      </c>
      <c r="F92" t="s">
        <v>333</v>
      </c>
      <c r="G92" t="s">
        <v>30</v>
      </c>
      <c r="H92" t="s">
        <v>942</v>
      </c>
      <c r="I92" t="s">
        <v>412</v>
      </c>
      <c r="J92" t="s">
        <v>596</v>
      </c>
      <c r="K92" t="s">
        <v>859</v>
      </c>
      <c r="L92">
        <v>79</v>
      </c>
    </row>
    <row r="93" spans="1:12" ht="16.05" customHeight="1">
      <c r="A93" t="s">
        <v>601</v>
      </c>
      <c r="B93" t="s">
        <v>600</v>
      </c>
      <c r="C93" t="s">
        <v>602</v>
      </c>
      <c r="D93" t="s">
        <v>896</v>
      </c>
      <c r="E93" t="s">
        <v>289</v>
      </c>
      <c r="F93" t="s">
        <v>297</v>
      </c>
      <c r="G93" t="s">
        <v>30</v>
      </c>
      <c r="H93" t="s">
        <v>911</v>
      </c>
      <c r="I93" t="s">
        <v>439</v>
      </c>
      <c r="J93" t="s">
        <v>603</v>
      </c>
      <c r="K93" t="s">
        <v>859</v>
      </c>
      <c r="L93">
        <v>81</v>
      </c>
    </row>
    <row r="94" spans="1:12" ht="16.05" customHeight="1">
      <c r="A94" t="s">
        <v>436</v>
      </c>
      <c r="B94" t="s">
        <v>435</v>
      </c>
      <c r="C94" t="s">
        <v>437</v>
      </c>
      <c r="D94" t="s">
        <v>896</v>
      </c>
      <c r="E94" t="s">
        <v>289</v>
      </c>
      <c r="F94" t="s">
        <v>429</v>
      </c>
      <c r="G94" t="s">
        <v>30</v>
      </c>
      <c r="H94" t="s">
        <v>920</v>
      </c>
      <c r="I94" t="s">
        <v>641</v>
      </c>
      <c r="J94" t="s">
        <v>438</v>
      </c>
      <c r="K94" t="s">
        <v>859</v>
      </c>
      <c r="L94">
        <v>37</v>
      </c>
    </row>
    <row r="95" spans="1:12" ht="16.05" customHeight="1">
      <c r="A95" t="s">
        <v>613</v>
      </c>
      <c r="B95" t="s">
        <v>612</v>
      </c>
      <c r="C95" t="s">
        <v>614</v>
      </c>
      <c r="D95" t="s">
        <v>896</v>
      </c>
      <c r="E95" t="s">
        <v>289</v>
      </c>
      <c r="F95" t="s">
        <v>305</v>
      </c>
      <c r="G95" t="s">
        <v>30</v>
      </c>
      <c r="H95" t="s">
        <v>943</v>
      </c>
      <c r="I95" t="s">
        <v>641</v>
      </c>
      <c r="J95" t="s">
        <v>615</v>
      </c>
      <c r="K95" t="s">
        <v>859</v>
      </c>
      <c r="L95">
        <v>82</v>
      </c>
    </row>
    <row r="96" spans="1:12" ht="16.05" customHeight="1">
      <c r="A96" t="s">
        <v>349</v>
      </c>
      <c r="B96" t="s">
        <v>348</v>
      </c>
      <c r="C96" t="s">
        <v>350</v>
      </c>
      <c r="D96" t="s">
        <v>896</v>
      </c>
      <c r="E96" t="s">
        <v>226</v>
      </c>
      <c r="F96" t="s">
        <v>327</v>
      </c>
      <c r="G96" t="s">
        <v>30</v>
      </c>
      <c r="H96" t="s">
        <v>904</v>
      </c>
      <c r="I96" t="s">
        <v>322</v>
      </c>
      <c r="J96" t="s">
        <v>351</v>
      </c>
      <c r="K96" t="s">
        <v>859</v>
      </c>
      <c r="L96">
        <v>84</v>
      </c>
    </row>
    <row r="97" spans="1:12" ht="16.05" customHeight="1">
      <c r="A97" t="s">
        <v>723</v>
      </c>
      <c r="B97" t="s">
        <v>722</v>
      </c>
      <c r="C97" t="s">
        <v>724</v>
      </c>
      <c r="D97" t="s">
        <v>896</v>
      </c>
      <c r="E97" t="s">
        <v>226</v>
      </c>
      <c r="F97" t="s">
        <v>590</v>
      </c>
      <c r="G97" t="s">
        <v>30</v>
      </c>
      <c r="H97" t="s">
        <v>904</v>
      </c>
      <c r="I97" t="s">
        <v>762</v>
      </c>
      <c r="J97" t="s">
        <v>725</v>
      </c>
      <c r="K97" t="s">
        <v>859</v>
      </c>
      <c r="L97">
        <v>112</v>
      </c>
    </row>
    <row r="98" spans="1:12" ht="16.05" customHeight="1">
      <c r="A98" t="s">
        <v>617</v>
      </c>
      <c r="B98" t="s">
        <v>618</v>
      </c>
      <c r="C98" t="s">
        <v>619</v>
      </c>
      <c r="D98" t="s">
        <v>896</v>
      </c>
      <c r="E98" t="s">
        <v>226</v>
      </c>
      <c r="F98" t="s">
        <v>319</v>
      </c>
      <c r="G98" t="s">
        <v>30</v>
      </c>
      <c r="H98" t="s">
        <v>926</v>
      </c>
      <c r="I98" t="s">
        <v>314</v>
      </c>
      <c r="J98" t="s">
        <v>620</v>
      </c>
      <c r="K98" t="s">
        <v>859</v>
      </c>
      <c r="L98">
        <v>85</v>
      </c>
    </row>
    <row r="99" spans="1:12" ht="16.05" customHeight="1">
      <c r="A99" t="s">
        <v>623</v>
      </c>
      <c r="B99" t="s">
        <v>621</v>
      </c>
      <c r="C99" t="s">
        <v>624</v>
      </c>
      <c r="D99" t="s">
        <v>896</v>
      </c>
      <c r="E99" t="s">
        <v>289</v>
      </c>
      <c r="F99" t="s">
        <v>333</v>
      </c>
      <c r="G99" t="s">
        <v>30</v>
      </c>
      <c r="H99" t="s">
        <v>944</v>
      </c>
      <c r="I99" t="s">
        <v>537</v>
      </c>
      <c r="J99" t="s">
        <v>625</v>
      </c>
      <c r="K99" t="s">
        <v>859</v>
      </c>
      <c r="L99">
        <v>86</v>
      </c>
    </row>
    <row r="100" spans="1:12" ht="16.05" customHeight="1">
      <c r="A100" t="s">
        <v>632</v>
      </c>
      <c r="B100" t="s">
        <v>631</v>
      </c>
      <c r="C100" t="s">
        <v>633</v>
      </c>
      <c r="D100" t="s">
        <v>896</v>
      </c>
      <c r="E100" t="s">
        <v>226</v>
      </c>
      <c r="F100" t="s">
        <v>535</v>
      </c>
      <c r="G100" t="s">
        <v>30</v>
      </c>
      <c r="H100" t="s">
        <v>925</v>
      </c>
      <c r="I100" t="s">
        <v>641</v>
      </c>
      <c r="J100" t="s">
        <v>634</v>
      </c>
      <c r="K100" t="s">
        <v>859</v>
      </c>
      <c r="L100">
        <v>90</v>
      </c>
    </row>
    <row r="101" spans="1:12" ht="16.05" customHeight="1">
      <c r="A101" t="s">
        <v>650</v>
      </c>
      <c r="B101" t="s">
        <v>648</v>
      </c>
      <c r="C101" t="s">
        <v>651</v>
      </c>
      <c r="D101" t="s">
        <v>896</v>
      </c>
      <c r="E101" t="s">
        <v>289</v>
      </c>
      <c r="F101" t="s">
        <v>652</v>
      </c>
      <c r="G101" t="s">
        <v>30</v>
      </c>
      <c r="H101" t="s">
        <v>911</v>
      </c>
      <c r="I101" t="s">
        <v>532</v>
      </c>
      <c r="J101" t="s">
        <v>653</v>
      </c>
      <c r="K101" t="s">
        <v>859</v>
      </c>
      <c r="L101">
        <v>95</v>
      </c>
    </row>
    <row r="102" spans="1:12" ht="16.05" customHeight="1">
      <c r="A102" t="s">
        <v>644</v>
      </c>
      <c r="B102" t="s">
        <v>643</v>
      </c>
      <c r="C102" t="s">
        <v>645</v>
      </c>
      <c r="D102" t="s">
        <v>896</v>
      </c>
      <c r="E102" t="s">
        <v>226</v>
      </c>
      <c r="G102" t="s">
        <v>30</v>
      </c>
      <c r="H102" t="s">
        <v>945</v>
      </c>
      <c r="I102" t="s">
        <v>329</v>
      </c>
      <c r="J102" t="s">
        <v>646</v>
      </c>
      <c r="K102" t="s">
        <v>859</v>
      </c>
      <c r="L102">
        <v>94</v>
      </c>
    </row>
    <row r="103" spans="1:12" ht="16.05" customHeight="1">
      <c r="A103" t="s">
        <v>662</v>
      </c>
      <c r="B103" t="s">
        <v>661</v>
      </c>
      <c r="C103" t="s">
        <v>663</v>
      </c>
      <c r="D103" t="s">
        <v>896</v>
      </c>
      <c r="E103" t="s">
        <v>226</v>
      </c>
      <c r="F103" t="s">
        <v>333</v>
      </c>
      <c r="G103" t="s">
        <v>30</v>
      </c>
      <c r="H103" t="s">
        <v>946</v>
      </c>
      <c r="I103" t="s">
        <v>900</v>
      </c>
      <c r="J103" t="s">
        <v>664</v>
      </c>
      <c r="K103" t="s">
        <v>916</v>
      </c>
      <c r="L103">
        <v>98</v>
      </c>
    </row>
    <row r="104" spans="1:12" ht="16.05" customHeight="1">
      <c r="A104" t="s">
        <v>638</v>
      </c>
      <c r="B104" t="s">
        <v>637</v>
      </c>
      <c r="C104" t="s">
        <v>639</v>
      </c>
      <c r="D104" t="s">
        <v>896</v>
      </c>
      <c r="E104" t="s">
        <v>226</v>
      </c>
      <c r="F104" t="s">
        <v>327</v>
      </c>
      <c r="G104" t="s">
        <v>30</v>
      </c>
      <c r="H104" t="s">
        <v>917</v>
      </c>
      <c r="I104" t="s">
        <v>322</v>
      </c>
      <c r="J104" t="s">
        <v>640</v>
      </c>
      <c r="K104" t="s">
        <v>859</v>
      </c>
      <c r="L104">
        <v>92</v>
      </c>
    </row>
    <row r="105" spans="1:12" ht="16.05" customHeight="1">
      <c r="A105" t="s">
        <v>676</v>
      </c>
      <c r="B105" t="s">
        <v>675</v>
      </c>
      <c r="C105" t="s">
        <v>677</v>
      </c>
      <c r="D105" t="s">
        <v>896</v>
      </c>
      <c r="E105" t="s">
        <v>289</v>
      </c>
      <c r="F105" t="s">
        <v>678</v>
      </c>
      <c r="G105" t="s">
        <v>30</v>
      </c>
      <c r="H105" t="s">
        <v>911</v>
      </c>
      <c r="I105" t="s">
        <v>439</v>
      </c>
      <c r="J105" t="s">
        <v>679</v>
      </c>
      <c r="K105" t="s">
        <v>859</v>
      </c>
      <c r="L105">
        <v>105</v>
      </c>
    </row>
    <row r="106" spans="1:12" ht="16.05" customHeight="1">
      <c r="A106" t="s">
        <v>681</v>
      </c>
      <c r="B106" t="s">
        <v>680</v>
      </c>
      <c r="C106" t="s">
        <v>682</v>
      </c>
      <c r="D106" t="s">
        <v>896</v>
      </c>
      <c r="E106" t="s">
        <v>226</v>
      </c>
      <c r="F106" t="s">
        <v>319</v>
      </c>
      <c r="G106" t="s">
        <v>30</v>
      </c>
      <c r="H106" t="s">
        <v>947</v>
      </c>
      <c r="I106" t="s">
        <v>314</v>
      </c>
      <c r="J106" t="s">
        <v>683</v>
      </c>
      <c r="K106" t="s">
        <v>859</v>
      </c>
      <c r="L106">
        <v>100</v>
      </c>
    </row>
    <row r="107" spans="1:12" ht="16.05" customHeight="1">
      <c r="A107" t="s">
        <v>689</v>
      </c>
      <c r="B107" t="s">
        <v>688</v>
      </c>
      <c r="C107" t="s">
        <v>690</v>
      </c>
      <c r="D107" t="s">
        <v>896</v>
      </c>
      <c r="E107" t="s">
        <v>226</v>
      </c>
      <c r="F107" t="s">
        <v>404</v>
      </c>
      <c r="G107" t="s">
        <v>30</v>
      </c>
      <c r="H107" t="s">
        <v>849</v>
      </c>
      <c r="I107" t="s">
        <v>641</v>
      </c>
      <c r="J107" t="s">
        <v>691</v>
      </c>
      <c r="K107" t="s">
        <v>859</v>
      </c>
      <c r="L107">
        <v>102</v>
      </c>
    </row>
    <row r="108" spans="1:12" ht="16.05" customHeight="1">
      <c r="A108" t="s">
        <v>694</v>
      </c>
      <c r="B108" t="s">
        <v>692</v>
      </c>
      <c r="C108" t="s">
        <v>695</v>
      </c>
      <c r="D108" t="s">
        <v>867</v>
      </c>
      <c r="E108" t="s">
        <v>289</v>
      </c>
      <c r="F108" t="s">
        <v>404</v>
      </c>
      <c r="G108" t="s">
        <v>30</v>
      </c>
      <c r="H108" t="s">
        <v>925</v>
      </c>
      <c r="I108" t="s">
        <v>688</v>
      </c>
      <c r="J108" t="s">
        <v>696</v>
      </c>
      <c r="K108" t="s">
        <v>859</v>
      </c>
      <c r="L108">
        <v>107</v>
      </c>
    </row>
    <row r="109" spans="1:12" ht="16.05" customHeight="1">
      <c r="A109" t="s">
        <v>607</v>
      </c>
      <c r="B109" t="s">
        <v>606</v>
      </c>
      <c r="C109" t="s">
        <v>608</v>
      </c>
      <c r="D109" t="s">
        <v>896</v>
      </c>
      <c r="E109" t="s">
        <v>226</v>
      </c>
      <c r="F109" t="s">
        <v>327</v>
      </c>
      <c r="G109" t="s">
        <v>30</v>
      </c>
      <c r="H109" t="s">
        <v>911</v>
      </c>
      <c r="I109" t="s">
        <v>322</v>
      </c>
      <c r="J109" t="s">
        <v>609</v>
      </c>
      <c r="K109" t="s">
        <v>859</v>
      </c>
      <c r="L109">
        <v>83</v>
      </c>
    </row>
    <row r="110" spans="1:12" ht="16.05" customHeight="1">
      <c r="A110" t="s">
        <v>700</v>
      </c>
      <c r="B110" t="s">
        <v>699</v>
      </c>
      <c r="C110" t="s">
        <v>701</v>
      </c>
      <c r="D110" t="s">
        <v>896</v>
      </c>
      <c r="E110" t="s">
        <v>702</v>
      </c>
      <c r="F110" t="s">
        <v>386</v>
      </c>
      <c r="G110" t="s">
        <v>30</v>
      </c>
      <c r="H110" t="s">
        <v>911</v>
      </c>
      <c r="I110" t="s">
        <v>406</v>
      </c>
      <c r="J110" t="s">
        <v>703</v>
      </c>
      <c r="K110" t="s">
        <v>859</v>
      </c>
      <c r="L110">
        <v>109</v>
      </c>
    </row>
    <row r="111" spans="1:12" ht="16.05" customHeight="1">
      <c r="A111" t="s">
        <v>711</v>
      </c>
      <c r="B111" t="s">
        <v>709</v>
      </c>
      <c r="C111" t="s">
        <v>712</v>
      </c>
      <c r="D111" t="s">
        <v>856</v>
      </c>
      <c r="E111" t="s">
        <v>289</v>
      </c>
      <c r="G111" t="s">
        <v>30</v>
      </c>
      <c r="H111" t="s">
        <v>878</v>
      </c>
      <c r="I111" t="s">
        <v>202</v>
      </c>
      <c r="J111" t="s">
        <v>713</v>
      </c>
      <c r="K111" t="s">
        <v>859</v>
      </c>
      <c r="L111">
        <v>110</v>
      </c>
    </row>
    <row r="112" spans="1:12" ht="16.05" customHeight="1">
      <c r="A112" t="s">
        <v>717</v>
      </c>
      <c r="B112" t="s">
        <v>716</v>
      </c>
      <c r="C112" t="s">
        <v>718</v>
      </c>
      <c r="D112" t="s">
        <v>896</v>
      </c>
      <c r="E112" t="s">
        <v>289</v>
      </c>
      <c r="F112" t="s">
        <v>333</v>
      </c>
      <c r="G112" t="s">
        <v>30</v>
      </c>
      <c r="H112" t="s">
        <v>948</v>
      </c>
      <c r="I112" t="s">
        <v>592</v>
      </c>
      <c r="J112" t="s">
        <v>719</v>
      </c>
      <c r="K112" t="s">
        <v>859</v>
      </c>
      <c r="L112">
        <v>111</v>
      </c>
    </row>
    <row r="113" spans="1:12" ht="16.05" customHeight="1">
      <c r="A113" t="s">
        <v>729</v>
      </c>
      <c r="B113" t="s">
        <v>728</v>
      </c>
      <c r="C113" t="s">
        <v>730</v>
      </c>
      <c r="D113" t="s">
        <v>896</v>
      </c>
      <c r="E113" t="s">
        <v>289</v>
      </c>
      <c r="F113" t="s">
        <v>535</v>
      </c>
      <c r="G113" t="s">
        <v>30</v>
      </c>
      <c r="H113" t="s">
        <v>904</v>
      </c>
      <c r="I113" t="s">
        <v>532</v>
      </c>
      <c r="J113" t="s">
        <v>731</v>
      </c>
      <c r="K113" t="s">
        <v>859</v>
      </c>
      <c r="L113">
        <v>115</v>
      </c>
    </row>
    <row r="114" spans="1:12" ht="16.05" customHeight="1">
      <c r="A114" t="s">
        <v>735</v>
      </c>
      <c r="B114" t="s">
        <v>734</v>
      </c>
      <c r="C114" t="s">
        <v>736</v>
      </c>
      <c r="D114" t="s">
        <v>896</v>
      </c>
      <c r="E114" t="s">
        <v>289</v>
      </c>
      <c r="F114" t="s">
        <v>444</v>
      </c>
      <c r="G114" t="s">
        <v>30</v>
      </c>
      <c r="H114" t="s">
        <v>920</v>
      </c>
      <c r="I114" t="s">
        <v>439</v>
      </c>
      <c r="J114" t="s">
        <v>737</v>
      </c>
      <c r="K114" t="s">
        <v>859</v>
      </c>
      <c r="L114">
        <v>114</v>
      </c>
    </row>
    <row r="115" spans="1:12" ht="16.05" customHeight="1">
      <c r="A115" t="s">
        <v>741</v>
      </c>
      <c r="B115" t="s">
        <v>740</v>
      </c>
      <c r="C115" t="s">
        <v>742</v>
      </c>
      <c r="D115" t="s">
        <v>896</v>
      </c>
      <c r="E115" t="s">
        <v>289</v>
      </c>
      <c r="F115" t="s">
        <v>743</v>
      </c>
      <c r="G115" t="s">
        <v>30</v>
      </c>
      <c r="H115" t="s">
        <v>949</v>
      </c>
      <c r="I115" t="s">
        <v>950</v>
      </c>
      <c r="J115" t="s">
        <v>744</v>
      </c>
      <c r="K115" t="s">
        <v>859</v>
      </c>
      <c r="L115">
        <v>117</v>
      </c>
    </row>
    <row r="116" spans="1:12" ht="16.05" customHeight="1">
      <c r="A116" t="s">
        <v>482</v>
      </c>
      <c r="B116" t="s">
        <v>481</v>
      </c>
      <c r="C116" t="s">
        <v>483</v>
      </c>
      <c r="D116" t="s">
        <v>896</v>
      </c>
      <c r="E116" t="s">
        <v>289</v>
      </c>
      <c r="F116" t="s">
        <v>386</v>
      </c>
      <c r="G116" t="s">
        <v>30</v>
      </c>
      <c r="H116" t="s">
        <v>911</v>
      </c>
      <c r="I116" t="s">
        <v>406</v>
      </c>
      <c r="J116" t="s">
        <v>484</v>
      </c>
      <c r="K116" t="s">
        <v>859</v>
      </c>
      <c r="L116">
        <v>52</v>
      </c>
    </row>
    <row r="117" spans="1:12" ht="16.05" customHeight="1">
      <c r="A117" t="s">
        <v>747</v>
      </c>
      <c r="B117" t="s">
        <v>745</v>
      </c>
      <c r="C117" t="s">
        <v>748</v>
      </c>
      <c r="D117" t="s">
        <v>896</v>
      </c>
      <c r="E117" t="s">
        <v>226</v>
      </c>
      <c r="F117" t="s">
        <v>749</v>
      </c>
      <c r="G117" t="s">
        <v>30</v>
      </c>
      <c r="H117" t="s">
        <v>911</v>
      </c>
      <c r="I117" t="s">
        <v>919</v>
      </c>
      <c r="J117" t="s">
        <v>750</v>
      </c>
      <c r="K117" t="s">
        <v>859</v>
      </c>
      <c r="L117">
        <v>118</v>
      </c>
    </row>
    <row r="118" spans="1:12" ht="16.05" customHeight="1">
      <c r="A118" t="s">
        <v>753</v>
      </c>
      <c r="B118" t="s">
        <v>751</v>
      </c>
      <c r="C118" t="s">
        <v>754</v>
      </c>
      <c r="D118" t="s">
        <v>896</v>
      </c>
      <c r="E118" t="s">
        <v>289</v>
      </c>
      <c r="F118" t="s">
        <v>755</v>
      </c>
      <c r="G118" t="s">
        <v>30</v>
      </c>
      <c r="H118" t="s">
        <v>925</v>
      </c>
      <c r="I118" t="s">
        <v>641</v>
      </c>
      <c r="J118" t="s">
        <v>756</v>
      </c>
      <c r="K118" t="s">
        <v>859</v>
      </c>
      <c r="L118">
        <v>119</v>
      </c>
    </row>
    <row r="119" spans="1:12" ht="16.05" customHeight="1">
      <c r="A119" t="s">
        <v>759</v>
      </c>
      <c r="B119" t="s">
        <v>757</v>
      </c>
      <c r="C119" t="s">
        <v>760</v>
      </c>
      <c r="D119" t="s">
        <v>896</v>
      </c>
      <c r="E119" t="s">
        <v>289</v>
      </c>
      <c r="F119" t="s">
        <v>373</v>
      </c>
      <c r="G119" t="s">
        <v>30</v>
      </c>
      <c r="H119" t="s">
        <v>911</v>
      </c>
      <c r="I119" t="s">
        <v>921</v>
      </c>
      <c r="J119" t="s">
        <v>761</v>
      </c>
      <c r="K119" t="s">
        <v>859</v>
      </c>
      <c r="L119">
        <v>120</v>
      </c>
    </row>
    <row r="120" spans="1:12" ht="16.05" customHeight="1">
      <c r="A120" t="s">
        <v>378</v>
      </c>
      <c r="B120" t="s">
        <v>377</v>
      </c>
      <c r="C120" t="s">
        <v>379</v>
      </c>
      <c r="D120" t="s">
        <v>896</v>
      </c>
      <c r="E120" t="s">
        <v>289</v>
      </c>
      <c r="F120" t="s">
        <v>327</v>
      </c>
      <c r="G120" t="s">
        <v>30</v>
      </c>
      <c r="H120" t="s">
        <v>911</v>
      </c>
      <c r="I120" t="s">
        <v>322</v>
      </c>
      <c r="J120" t="s">
        <v>380</v>
      </c>
      <c r="K120" t="s">
        <v>859</v>
      </c>
      <c r="L120">
        <v>23</v>
      </c>
    </row>
    <row r="121" spans="1:12" ht="16.05" customHeight="1">
      <c r="A121" t="s">
        <v>765</v>
      </c>
      <c r="B121" t="s">
        <v>764</v>
      </c>
      <c r="C121" t="s">
        <v>766</v>
      </c>
      <c r="D121" t="s">
        <v>896</v>
      </c>
      <c r="E121" t="s">
        <v>289</v>
      </c>
      <c r="F121" t="s">
        <v>590</v>
      </c>
      <c r="G121" t="s">
        <v>30</v>
      </c>
      <c r="H121" t="s">
        <v>925</v>
      </c>
      <c r="I121" t="s">
        <v>641</v>
      </c>
      <c r="J121" t="s">
        <v>767</v>
      </c>
      <c r="K121" t="s">
        <v>859</v>
      </c>
      <c r="L121">
        <v>121</v>
      </c>
    </row>
    <row r="122" spans="1:12" ht="16.05" customHeight="1">
      <c r="A122" t="s">
        <v>771</v>
      </c>
      <c r="B122" t="s">
        <v>769</v>
      </c>
      <c r="C122" t="s">
        <v>772</v>
      </c>
      <c r="D122" t="s">
        <v>896</v>
      </c>
      <c r="E122" t="s">
        <v>289</v>
      </c>
      <c r="F122" t="s">
        <v>404</v>
      </c>
      <c r="G122" t="s">
        <v>30</v>
      </c>
      <c r="H122" t="s">
        <v>904</v>
      </c>
      <c r="I122" t="s">
        <v>688</v>
      </c>
      <c r="J122" t="s">
        <v>773</v>
      </c>
      <c r="K122" t="s">
        <v>859</v>
      </c>
      <c r="L122">
        <v>122</v>
      </c>
    </row>
    <row r="123" spans="1:12" ht="16.05" customHeight="1">
      <c r="A123" t="s">
        <v>779</v>
      </c>
      <c r="B123" t="s">
        <v>778</v>
      </c>
      <c r="C123" t="s">
        <v>780</v>
      </c>
      <c r="D123" t="s">
        <v>896</v>
      </c>
      <c r="E123" t="s">
        <v>289</v>
      </c>
      <c r="F123" t="s">
        <v>429</v>
      </c>
      <c r="G123" t="s">
        <v>30</v>
      </c>
      <c r="H123" t="s">
        <v>904</v>
      </c>
      <c r="I123" t="s">
        <v>928</v>
      </c>
      <c r="J123" t="s">
        <v>781</v>
      </c>
      <c r="K123" t="s">
        <v>859</v>
      </c>
      <c r="L123">
        <v>123</v>
      </c>
    </row>
    <row r="124" spans="1:12" ht="16.05" customHeight="1"/>
    <row r="125" spans="1:12" ht="16.05" customHeight="1"/>
    <row r="126" spans="1:12" ht="16.05" customHeight="1"/>
    <row r="127" spans="1:12" ht="16.05" customHeight="1"/>
    <row r="128" spans="1:12" ht="16.05" customHeight="1"/>
    <row r="129" ht="16.05" customHeight="1"/>
    <row r="130" ht="16.05" customHeight="1"/>
    <row r="131" ht="16.05" customHeight="1"/>
    <row r="132" ht="16.05" customHeight="1"/>
    <row r="133" ht="16.05" customHeight="1"/>
    <row r="134" ht="16.05" customHeight="1"/>
    <row r="135" ht="16.05" customHeight="1"/>
    <row r="136" ht="16.05" customHeight="1"/>
    <row r="137" ht="16.05" customHeight="1"/>
    <row r="138" ht="16.05" customHeight="1"/>
    <row r="139" ht="16.05" customHeight="1"/>
    <row r="140" ht="16.05" customHeight="1"/>
    <row r="141" ht="16.05" customHeight="1"/>
    <row r="142" ht="16.05" customHeight="1"/>
    <row r="143" ht="16.05" customHeight="1"/>
    <row r="144" ht="16.05" customHeight="1"/>
    <row r="145" ht="16.05" customHeight="1"/>
    <row r="146" ht="16.05" customHeight="1"/>
    <row r="147" ht="16.05" customHeight="1"/>
    <row r="148" ht="16.05" customHeight="1"/>
    <row r="149" ht="16.05" customHeight="1"/>
    <row r="150" ht="16.05" customHeight="1"/>
    <row r="151" ht="16.05" customHeight="1"/>
    <row r="152" ht="16.05" customHeight="1"/>
    <row r="153" ht="16.05" customHeight="1"/>
    <row r="154" ht="16.05" customHeight="1"/>
    <row r="155" ht="16.05" customHeight="1"/>
    <row r="156" ht="16.05" customHeight="1"/>
    <row r="157" ht="16.05" customHeight="1"/>
    <row r="158" ht="16.05" customHeight="1"/>
    <row r="159" ht="16.05" customHeight="1"/>
    <row r="160" ht="16.05" customHeight="1"/>
    <row r="161" ht="16.05" customHeight="1"/>
    <row r="162" ht="16.05" customHeight="1"/>
    <row r="163" ht="16.05" customHeight="1"/>
    <row r="164" ht="16.05" customHeight="1"/>
    <row r="165" ht="16.05" customHeight="1"/>
    <row r="166" ht="16.05" customHeight="1"/>
    <row r="167" ht="16.05" customHeight="1"/>
    <row r="168" ht="16.05" customHeight="1"/>
    <row r="169" ht="16.05" customHeight="1"/>
    <row r="170" ht="16.05" customHeight="1"/>
    <row r="171" ht="16.05" customHeight="1"/>
    <row r="172" ht="16.05" customHeight="1"/>
    <row r="173" ht="16.05" customHeight="1"/>
    <row r="174" ht="16.05" customHeight="1"/>
    <row r="175" ht="16.05" customHeight="1"/>
    <row r="176" ht="16.05" customHeight="1"/>
    <row r="177" ht="16.05" customHeight="1"/>
    <row r="178" ht="16.05" customHeight="1"/>
    <row r="179" ht="16.05" customHeight="1"/>
    <row r="180" ht="16.05" customHeight="1"/>
    <row r="181" ht="16.05" customHeight="1"/>
    <row r="182" ht="16.05" customHeight="1"/>
    <row r="183" ht="16.05" customHeight="1"/>
    <row r="184" ht="16.05" customHeight="1"/>
    <row r="185" ht="16.05" customHeight="1"/>
    <row r="186" ht="16.05" customHeight="1"/>
    <row r="187" ht="16.05" customHeight="1"/>
    <row r="188" ht="16.05" customHeight="1"/>
    <row r="189" ht="16.05" customHeight="1"/>
    <row r="190" ht="16.05" customHeight="1"/>
    <row r="191" ht="16.05" customHeight="1"/>
    <row r="192" ht="16.05" customHeight="1"/>
    <row r="193" ht="16.05" customHeight="1"/>
    <row r="194" ht="16.05" customHeight="1"/>
    <row r="195" ht="16.05" customHeight="1"/>
    <row r="196" ht="16.05" customHeight="1"/>
    <row r="197" ht="16.05" customHeight="1"/>
    <row r="198" ht="16.05" customHeight="1"/>
    <row r="199" ht="16.05" customHeight="1"/>
    <row r="200" ht="16.05" customHeight="1"/>
    <row r="201" ht="16.05" customHeight="1"/>
    <row r="202" ht="16.05" customHeight="1"/>
    <row r="203" ht="16.05" customHeight="1"/>
    <row r="204" ht="16.05" customHeight="1"/>
    <row r="205" ht="16.05" customHeight="1"/>
    <row r="206" ht="16.05" customHeight="1"/>
    <row r="207" ht="16.05" customHeight="1"/>
    <row r="208" ht="16.05" customHeight="1"/>
    <row r="209" ht="16.05" customHeight="1"/>
    <row r="210" ht="16.05" customHeight="1"/>
    <row r="211" ht="16.05" customHeight="1"/>
    <row r="212" ht="16.05" customHeight="1"/>
    <row r="213" ht="16.05" customHeight="1"/>
    <row r="214" ht="16.05" customHeight="1"/>
    <row r="215" ht="16.05" customHeight="1"/>
    <row r="216" ht="16.05" customHeight="1"/>
    <row r="217" ht="16.05" customHeight="1"/>
    <row r="218" ht="16.05" customHeight="1"/>
    <row r="219" ht="16.05" customHeight="1"/>
    <row r="220" ht="16.05" customHeight="1"/>
    <row r="221" ht="16.05" customHeight="1"/>
    <row r="222" ht="16.05" customHeight="1"/>
    <row r="223" ht="16.05" customHeight="1"/>
    <row r="224" ht="16.05" customHeight="1"/>
    <row r="225" ht="16.05" customHeight="1"/>
    <row r="226" ht="16.05" customHeight="1"/>
    <row r="227" ht="16.05" customHeight="1"/>
    <row r="228" ht="16.05" customHeight="1"/>
    <row r="229" ht="16.05" customHeight="1"/>
    <row r="230" ht="16.05" customHeight="1"/>
    <row r="231" ht="16.05" customHeight="1"/>
    <row r="232" ht="16.05" customHeight="1"/>
    <row r="233" ht="16.05" customHeight="1"/>
    <row r="234" ht="16.05" customHeight="1"/>
    <row r="235" ht="16.05" customHeight="1"/>
    <row r="236" ht="16.05" customHeight="1"/>
    <row r="237" ht="16.05" customHeight="1"/>
    <row r="238" ht="16.05" customHeight="1"/>
    <row r="239" ht="16.05" customHeight="1"/>
    <row r="240" ht="16.05" customHeight="1"/>
    <row r="241" ht="16.05" customHeight="1"/>
    <row r="242" ht="16.05" customHeight="1"/>
    <row r="243" ht="16.05" customHeight="1"/>
    <row r="244" ht="16.05" customHeight="1"/>
    <row r="245" ht="16.05" customHeight="1"/>
    <row r="246" ht="16.05" customHeight="1"/>
    <row r="247" ht="16.05" customHeight="1"/>
    <row r="248" ht="16.05" customHeight="1"/>
    <row r="249" ht="16.05" customHeight="1"/>
    <row r="250" ht="16.05" customHeight="1"/>
    <row r="251" ht="16.05" customHeight="1"/>
    <row r="252" ht="16.05" customHeight="1"/>
    <row r="253" ht="16.05" customHeight="1"/>
    <row r="254" ht="16.05" customHeight="1"/>
    <row r="255" ht="16.05" customHeight="1"/>
    <row r="256" ht="16.05" customHeight="1"/>
    <row r="257" ht="16.05" customHeight="1"/>
    <row r="258" ht="16.05" customHeight="1"/>
    <row r="259" ht="16.05" customHeight="1"/>
    <row r="260" ht="16.05" customHeight="1"/>
    <row r="261" ht="16.05" customHeight="1"/>
    <row r="262" ht="16.05" customHeight="1"/>
    <row r="263" ht="16.05" customHeight="1"/>
    <row r="264" ht="16.05" customHeight="1"/>
    <row r="265" ht="16.05" customHeight="1"/>
    <row r="266" ht="16.05" customHeight="1"/>
    <row r="267" ht="16.05" customHeight="1"/>
    <row r="268" ht="16.05" customHeight="1"/>
    <row r="269" ht="16.05" customHeight="1"/>
    <row r="270" ht="16.05" customHeight="1"/>
    <row r="271" ht="16.05" customHeight="1"/>
    <row r="272" ht="16.05" customHeight="1"/>
    <row r="273" ht="16.05" customHeight="1"/>
    <row r="274" ht="16.05" customHeight="1"/>
    <row r="275" ht="16.05" customHeight="1"/>
    <row r="276" ht="16.05" customHeight="1"/>
    <row r="277" ht="16.05" customHeight="1"/>
    <row r="278" ht="16.05" customHeight="1"/>
    <row r="279" ht="16.05" customHeight="1"/>
    <row r="280" ht="16.05" customHeight="1"/>
    <row r="281" ht="16.05" customHeight="1"/>
    <row r="282" ht="16.05" customHeight="1"/>
    <row r="283" ht="16.05" customHeight="1"/>
    <row r="284" ht="16.05" customHeight="1"/>
    <row r="285" ht="16.05" customHeight="1"/>
    <row r="286" ht="16.05" customHeight="1"/>
    <row r="287" ht="16.05" customHeight="1"/>
    <row r="288" ht="16.05" customHeight="1"/>
    <row r="289" ht="16.05" customHeight="1"/>
    <row r="290" ht="16.05" customHeight="1"/>
    <row r="291" ht="16.05" customHeight="1"/>
    <row r="292" ht="16.05" customHeight="1"/>
    <row r="293" ht="16.05" customHeight="1"/>
    <row r="294" ht="16.05" customHeight="1"/>
    <row r="295" ht="16.05" customHeight="1"/>
    <row r="296" ht="16.05" customHeight="1"/>
    <row r="297" ht="16.05" customHeight="1"/>
    <row r="298" ht="16.05" customHeight="1"/>
    <row r="299" ht="16.05" customHeight="1"/>
    <row r="300" ht="16.05" customHeight="1"/>
    <row r="301" ht="16.05" customHeight="1"/>
    <row r="302" ht="16.05" customHeight="1"/>
    <row r="303" ht="16.05" customHeight="1"/>
    <row r="304" ht="16.05" customHeight="1"/>
    <row r="305" ht="16.05" customHeight="1"/>
    <row r="306" ht="16.05" customHeight="1"/>
    <row r="307" ht="16.05" customHeight="1"/>
    <row r="308" ht="16.05" customHeight="1"/>
    <row r="309" ht="16.05" customHeight="1"/>
    <row r="310" ht="16.05" customHeight="1"/>
    <row r="311" ht="16.05" customHeight="1"/>
    <row r="312" ht="16.05" customHeight="1"/>
    <row r="313" ht="16.05" customHeight="1"/>
    <row r="314" ht="16.05" customHeight="1"/>
    <row r="315" ht="16.05" customHeight="1"/>
    <row r="316" ht="16.05" customHeight="1"/>
    <row r="317" ht="16.05" customHeight="1"/>
    <row r="318" ht="16.05" customHeight="1"/>
    <row r="319" ht="16.05" customHeight="1"/>
    <row r="320" ht="16.05" customHeight="1"/>
    <row r="321" ht="16.05" customHeight="1"/>
    <row r="322" ht="16.05" customHeight="1"/>
    <row r="323" ht="16.05" customHeight="1"/>
    <row r="324" ht="16.05" customHeight="1"/>
    <row r="325" ht="16.05" customHeight="1"/>
    <row r="326" ht="16.05" customHeight="1"/>
    <row r="327" ht="16.05" customHeight="1"/>
    <row r="328" ht="16.05" customHeight="1"/>
    <row r="329" ht="16.05" customHeight="1"/>
    <row r="330" ht="16.05" customHeight="1"/>
    <row r="331" ht="16.05" customHeight="1"/>
    <row r="332" ht="16.05" customHeight="1"/>
    <row r="333" ht="16.05" customHeight="1"/>
    <row r="334" ht="16.05" customHeight="1"/>
    <row r="335" ht="16.05" customHeight="1"/>
    <row r="336" ht="16.05" customHeight="1"/>
    <row r="337" ht="16.05" customHeight="1"/>
    <row r="338" ht="16.05" customHeight="1"/>
    <row r="339" ht="16.05" customHeight="1"/>
    <row r="340" ht="16.05" customHeight="1"/>
    <row r="341" ht="16.05" customHeight="1"/>
    <row r="342" ht="16.05" customHeight="1"/>
    <row r="343" ht="16.05" customHeight="1"/>
    <row r="344" ht="16.05" customHeight="1"/>
    <row r="345" ht="16.05" customHeight="1"/>
    <row r="346" ht="16.05" customHeight="1"/>
    <row r="347" ht="16.05" customHeight="1"/>
    <row r="348" ht="16.05" customHeight="1"/>
    <row r="349" ht="16.05" customHeight="1"/>
    <row r="350" ht="16.05" customHeight="1"/>
    <row r="351" ht="16.05" customHeight="1"/>
    <row r="352" ht="16.05" customHeight="1"/>
    <row r="353" ht="16.05" customHeight="1"/>
    <row r="354" ht="16.05" customHeight="1"/>
    <row r="355" ht="16.05" customHeight="1"/>
    <row r="356" ht="16.05" customHeight="1"/>
    <row r="357" ht="16.05" customHeight="1"/>
    <row r="358" ht="16.05" customHeight="1"/>
    <row r="359" ht="16.05" customHeight="1"/>
    <row r="360" ht="16.05" customHeight="1"/>
    <row r="361" ht="16.05" customHeight="1"/>
    <row r="362" ht="16.05" customHeight="1"/>
    <row r="363" ht="16.05" customHeight="1"/>
    <row r="364" ht="16.05" customHeight="1"/>
    <row r="365" ht="16.05" customHeight="1"/>
    <row r="366" ht="16.05" customHeight="1"/>
    <row r="367" ht="16.05" customHeight="1"/>
    <row r="368" ht="16.05" customHeight="1"/>
    <row r="369" ht="16.05" customHeight="1"/>
    <row r="370" ht="16.05" customHeight="1"/>
    <row r="371" ht="16.05" customHeight="1"/>
    <row r="372" ht="16.05" customHeight="1"/>
    <row r="373" ht="16.05" customHeight="1"/>
    <row r="374" ht="16.05" customHeight="1"/>
    <row r="375" ht="16.05" customHeight="1"/>
    <row r="376" ht="16.05" customHeight="1"/>
    <row r="377" ht="16.05" customHeight="1"/>
    <row r="378" ht="16.05" customHeight="1"/>
    <row r="379" ht="16.05" customHeight="1"/>
    <row r="380" ht="16.05" customHeight="1"/>
    <row r="381" ht="16.05" customHeight="1"/>
    <row r="382" ht="16.05" customHeight="1"/>
    <row r="383" ht="16.05" customHeight="1"/>
    <row r="384" ht="16.05" customHeight="1"/>
    <row r="385" ht="16.05" customHeight="1"/>
    <row r="386" ht="16.05" customHeight="1"/>
    <row r="387" ht="16.05" customHeight="1"/>
    <row r="388" ht="16.05" customHeight="1"/>
    <row r="389" ht="16.05" customHeight="1"/>
    <row r="390" ht="16.05" customHeight="1"/>
    <row r="391" ht="16.05" customHeight="1"/>
    <row r="392" ht="16.05" customHeight="1"/>
    <row r="393" ht="16.05" customHeight="1"/>
    <row r="394" ht="16.05" customHeight="1"/>
    <row r="395" ht="16.05" customHeight="1"/>
    <row r="396" ht="16.05" customHeight="1"/>
    <row r="397" ht="16.05" customHeight="1"/>
    <row r="398" ht="16.05" customHeight="1"/>
    <row r="399" ht="16.05" customHeight="1"/>
    <row r="400" ht="16.05" customHeight="1"/>
    <row r="401" ht="16.05" customHeight="1"/>
    <row r="402" ht="16.05" customHeight="1"/>
    <row r="403" ht="16.05" customHeight="1"/>
    <row r="404" ht="16.05" customHeight="1"/>
    <row r="405" ht="16.05" customHeight="1"/>
    <row r="406" ht="16.05" customHeight="1"/>
    <row r="407" ht="16.05" customHeight="1"/>
    <row r="408" ht="16.05" customHeight="1"/>
    <row r="409" ht="16.05" customHeight="1"/>
    <row r="410" ht="16.05" customHeight="1"/>
    <row r="411" ht="16.05" customHeight="1"/>
    <row r="412" ht="16.05" customHeight="1"/>
    <row r="413" ht="16.05" customHeight="1"/>
    <row r="414" ht="16.05" customHeight="1"/>
    <row r="415" ht="16.05" customHeight="1"/>
    <row r="416" ht="16.05" customHeight="1"/>
    <row r="417" ht="16.05" customHeight="1"/>
    <row r="418" ht="16.05" customHeight="1"/>
    <row r="419" ht="16.05" customHeight="1"/>
    <row r="420" ht="16.05" customHeight="1"/>
    <row r="421" ht="16.05" customHeight="1"/>
    <row r="422" ht="16.05" customHeight="1"/>
    <row r="423" ht="16.05" customHeight="1"/>
    <row r="424" ht="16.05" customHeight="1"/>
    <row r="425" ht="16.05" customHeight="1"/>
    <row r="426" ht="16.05" customHeight="1"/>
    <row r="427" ht="16.05" customHeight="1"/>
    <row r="428" ht="16.05" customHeight="1"/>
    <row r="429" ht="16.05" customHeight="1"/>
    <row r="430" ht="16.05" customHeight="1"/>
    <row r="431" ht="16.05" customHeight="1"/>
    <row r="432" ht="16.05" customHeight="1"/>
    <row r="433" ht="16.05" customHeight="1"/>
    <row r="434" ht="16.05" customHeight="1"/>
    <row r="435" ht="16.05" customHeight="1"/>
    <row r="436" ht="16.05" customHeight="1"/>
    <row r="437" ht="16.05" customHeight="1"/>
    <row r="438" ht="16.05" customHeight="1"/>
    <row r="439" ht="16.05" customHeight="1"/>
    <row r="440" ht="16.05" customHeight="1"/>
    <row r="441" ht="16.05" customHeight="1"/>
    <row r="442" ht="16.05" customHeight="1"/>
    <row r="443" ht="16.05" customHeight="1"/>
    <row r="444" ht="16.05" customHeight="1"/>
    <row r="445" ht="16.05" customHeight="1"/>
    <row r="446" ht="16.05" customHeight="1"/>
    <row r="447" ht="16.05" customHeight="1"/>
    <row r="448" ht="16.05" customHeight="1"/>
    <row r="449" ht="16.05" customHeight="1"/>
    <row r="450" ht="16.05" customHeight="1"/>
    <row r="451" ht="16.05" customHeight="1"/>
    <row r="452" ht="16.05" customHeight="1"/>
    <row r="453" ht="16.05" customHeight="1"/>
    <row r="454" ht="16.05" customHeight="1"/>
    <row r="455" ht="16.05" customHeight="1"/>
    <row r="456" ht="16.05" customHeight="1"/>
    <row r="457" ht="16.05" customHeight="1"/>
    <row r="458" ht="16.05" customHeight="1"/>
    <row r="459" ht="16.05" customHeight="1"/>
    <row r="460" ht="16.05" customHeight="1"/>
    <row r="461" ht="16.05" customHeight="1"/>
    <row r="462" ht="16.05" customHeight="1"/>
    <row r="463" ht="16.05" customHeight="1"/>
    <row r="464" ht="16.05" customHeight="1"/>
    <row r="465" ht="16.05" customHeight="1"/>
    <row r="466" ht="16.05" customHeight="1"/>
    <row r="467" ht="16.05" customHeight="1"/>
    <row r="468" ht="16.05" customHeight="1"/>
    <row r="469" ht="16.05" customHeight="1"/>
    <row r="470" ht="16.05" customHeight="1"/>
    <row r="471" ht="16.05" customHeight="1"/>
    <row r="472" ht="16.05" customHeight="1"/>
    <row r="473" ht="16.05" customHeight="1"/>
    <row r="474" ht="16.05" customHeight="1"/>
    <row r="475" ht="16.05" customHeight="1"/>
    <row r="476" ht="16.05" customHeight="1"/>
    <row r="477" ht="16.05" customHeight="1"/>
    <row r="478" ht="16.05" customHeight="1"/>
    <row r="479" ht="16.05" customHeight="1"/>
    <row r="480" ht="16.05" customHeight="1"/>
    <row r="481" ht="16.05" customHeight="1"/>
    <row r="482" ht="16.05" customHeight="1"/>
    <row r="483" ht="16.05" customHeight="1"/>
    <row r="484" ht="16.05" customHeight="1"/>
    <row r="485" ht="16.05" customHeight="1"/>
    <row r="486" ht="16.05" customHeight="1"/>
    <row r="487" ht="16.05" customHeight="1"/>
    <row r="488" ht="16.05" customHeight="1"/>
    <row r="489" ht="16.05" customHeight="1"/>
    <row r="490" ht="16.05" customHeight="1"/>
    <row r="491" ht="16.05" customHeight="1"/>
    <row r="492" ht="16.05" customHeight="1"/>
    <row r="493" ht="16.05" customHeight="1"/>
    <row r="494" ht="16.05" customHeight="1"/>
    <row r="495" ht="16.05" customHeight="1"/>
    <row r="496" ht="16.05" customHeight="1"/>
    <row r="497" ht="16.05" customHeight="1"/>
    <row r="498" ht="16.05" customHeight="1"/>
    <row r="499" ht="16.05" customHeight="1"/>
    <row r="500" ht="16.0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00"/>
  <sheetViews>
    <sheetView tabSelected="1" workbookViewId="0">
      <selection activeCell="C22" sqref="C22"/>
    </sheetView>
  </sheetViews>
  <sheetFormatPr defaultRowHeight="13.8"/>
  <cols>
    <col min="1" max="1" width="30.19921875" bestFit="1" customWidth="1"/>
    <col min="2" max="2" width="58.5" bestFit="1" customWidth="1"/>
    <col min="3" max="3" width="255.69921875" bestFit="1" customWidth="1"/>
  </cols>
  <sheetData>
    <row r="1" spans="1:3" ht="16.05" customHeight="1">
      <c r="A1" s="3" t="s">
        <v>951</v>
      </c>
      <c r="B1" s="3" t="s">
        <v>952</v>
      </c>
      <c r="C1" s="3" t="s">
        <v>953</v>
      </c>
    </row>
    <row r="2" spans="1:3" ht="16.05" customHeight="1">
      <c r="A2" t="s">
        <v>282</v>
      </c>
      <c r="B2" t="s">
        <v>283</v>
      </c>
      <c r="C2" t="s">
        <v>284</v>
      </c>
    </row>
    <row r="3" spans="1:3" ht="16.05" customHeight="1">
      <c r="A3" t="s">
        <v>285</v>
      </c>
      <c r="B3" t="s">
        <v>286</v>
      </c>
      <c r="C3" t="s">
        <v>291</v>
      </c>
    </row>
    <row r="4" spans="1:3" ht="16.05" customHeight="1">
      <c r="A4" t="s">
        <v>790</v>
      </c>
      <c r="B4" t="s">
        <v>791</v>
      </c>
      <c r="C4" t="s">
        <v>96</v>
      </c>
    </row>
    <row r="5" spans="1:3" ht="16.05" customHeight="1">
      <c r="A5" t="s">
        <v>292</v>
      </c>
      <c r="B5" t="s">
        <v>293</v>
      </c>
      <c r="C5" t="s">
        <v>299</v>
      </c>
    </row>
    <row r="6" spans="1:3" ht="16.05" customHeight="1">
      <c r="A6" t="s">
        <v>277</v>
      </c>
      <c r="B6" t="s">
        <v>278</v>
      </c>
      <c r="C6" t="s">
        <v>281</v>
      </c>
    </row>
    <row r="7" spans="1:3" ht="16.05" customHeight="1">
      <c r="A7" t="s">
        <v>300</v>
      </c>
      <c r="B7" t="s">
        <v>301</v>
      </c>
      <c r="C7" t="s">
        <v>307</v>
      </c>
    </row>
    <row r="8" spans="1:3" ht="16.05" customHeight="1">
      <c r="A8" t="s">
        <v>308</v>
      </c>
      <c r="B8" t="s">
        <v>309</v>
      </c>
      <c r="C8" t="s">
        <v>86</v>
      </c>
    </row>
    <row r="9" spans="1:3" ht="16.05" customHeight="1">
      <c r="A9" t="s">
        <v>314</v>
      </c>
      <c r="B9" t="s">
        <v>315</v>
      </c>
      <c r="C9" t="s">
        <v>321</v>
      </c>
    </row>
    <row r="10" spans="1:3" ht="16.05" customHeight="1">
      <c r="A10" t="s">
        <v>322</v>
      </c>
      <c r="B10" t="s">
        <v>323</v>
      </c>
      <c r="C10" t="s">
        <v>307</v>
      </c>
    </row>
    <row r="11" spans="1:3" ht="16.05" customHeight="1">
      <c r="A11" t="s">
        <v>329</v>
      </c>
      <c r="B11" t="s">
        <v>330</v>
      </c>
      <c r="C11" t="s">
        <v>335</v>
      </c>
    </row>
    <row r="12" spans="1:3" ht="16.05" customHeight="1">
      <c r="A12" t="s">
        <v>77</v>
      </c>
      <c r="B12" t="s">
        <v>78</v>
      </c>
      <c r="C12" t="s">
        <v>86</v>
      </c>
    </row>
    <row r="13" spans="1:3" ht="16.05" customHeight="1">
      <c r="A13" t="s">
        <v>221</v>
      </c>
      <c r="B13" t="s">
        <v>222</v>
      </c>
      <c r="C13" t="s">
        <v>228</v>
      </c>
    </row>
    <row r="14" spans="1:3" ht="16.05" customHeight="1">
      <c r="A14" t="s">
        <v>87</v>
      </c>
      <c r="B14" t="s">
        <v>88</v>
      </c>
      <c r="C14" t="s">
        <v>86</v>
      </c>
    </row>
    <row r="15" spans="1:3" ht="16.05" customHeight="1">
      <c r="A15" t="s">
        <v>336</v>
      </c>
      <c r="B15" t="s">
        <v>337</v>
      </c>
      <c r="C15" t="s">
        <v>86</v>
      </c>
    </row>
    <row r="16" spans="1:3" ht="16.05" customHeight="1">
      <c r="A16" t="s">
        <v>341</v>
      </c>
      <c r="B16" t="s">
        <v>342</v>
      </c>
      <c r="C16" t="s">
        <v>86</v>
      </c>
    </row>
    <row r="17" spans="1:3" ht="16.05" customHeight="1">
      <c r="A17" t="s">
        <v>346</v>
      </c>
      <c r="B17" t="s">
        <v>347</v>
      </c>
      <c r="C17" t="s">
        <v>86</v>
      </c>
    </row>
    <row r="18" spans="1:3" ht="16.05" customHeight="1">
      <c r="A18" t="s">
        <v>352</v>
      </c>
      <c r="B18" t="s">
        <v>353</v>
      </c>
      <c r="C18" t="s">
        <v>357</v>
      </c>
    </row>
    <row r="19" spans="1:3" ht="16.05" customHeight="1">
      <c r="A19" t="s">
        <v>795</v>
      </c>
      <c r="B19" t="s">
        <v>796</v>
      </c>
      <c r="C19" t="s">
        <v>86</v>
      </c>
    </row>
    <row r="20" spans="1:3" ht="16.05" customHeight="1">
      <c r="A20" t="s">
        <v>362</v>
      </c>
      <c r="B20" t="s">
        <v>363</v>
      </c>
      <c r="C20" t="s">
        <v>86</v>
      </c>
    </row>
    <row r="21" spans="1:3" ht="16.05" customHeight="1">
      <c r="A21" t="s">
        <v>369</v>
      </c>
      <c r="B21" t="s">
        <v>370</v>
      </c>
      <c r="C21" t="s">
        <v>86</v>
      </c>
    </row>
    <row r="22" spans="1:3" ht="16.05" customHeight="1">
      <c r="A22" t="s">
        <v>797</v>
      </c>
      <c r="B22" t="s">
        <v>798</v>
      </c>
      <c r="C22" t="s">
        <v>96</v>
      </c>
    </row>
    <row r="23" spans="1:3" ht="16.05" customHeight="1">
      <c r="A23" t="s">
        <v>801</v>
      </c>
      <c r="B23" t="s">
        <v>802</v>
      </c>
      <c r="C23" t="s">
        <v>803</v>
      </c>
    </row>
    <row r="24" spans="1:3" ht="16.05" customHeight="1">
      <c r="A24" t="s">
        <v>804</v>
      </c>
      <c r="B24" t="s">
        <v>805</v>
      </c>
      <c r="C24" t="s">
        <v>43</v>
      </c>
    </row>
    <row r="25" spans="1:3" ht="16.05" customHeight="1">
      <c r="A25" t="s">
        <v>358</v>
      </c>
      <c r="B25" t="s">
        <v>359</v>
      </c>
      <c r="C25" t="s">
        <v>96</v>
      </c>
    </row>
    <row r="26" spans="1:3" ht="16.05" customHeight="1">
      <c r="A26" t="s">
        <v>92</v>
      </c>
      <c r="B26" t="s">
        <v>93</v>
      </c>
      <c r="C26" t="s">
        <v>96</v>
      </c>
    </row>
    <row r="27" spans="1:3" ht="16.05" customHeight="1">
      <c r="A27" t="s">
        <v>375</v>
      </c>
      <c r="B27" t="s">
        <v>376</v>
      </c>
      <c r="C27" t="s">
        <v>381</v>
      </c>
    </row>
    <row r="28" spans="1:3" ht="16.05" customHeight="1">
      <c r="A28" t="s">
        <v>229</v>
      </c>
      <c r="B28" t="s">
        <v>230</v>
      </c>
      <c r="C28" t="s">
        <v>228</v>
      </c>
    </row>
    <row r="29" spans="1:3" ht="16.05" customHeight="1">
      <c r="A29" t="s">
        <v>382</v>
      </c>
      <c r="B29" t="s">
        <v>383</v>
      </c>
      <c r="C29" t="s">
        <v>388</v>
      </c>
    </row>
    <row r="30" spans="1:3" ht="16.05" customHeight="1">
      <c r="A30" t="s">
        <v>389</v>
      </c>
      <c r="B30" t="s">
        <v>390</v>
      </c>
      <c r="C30" t="s">
        <v>394</v>
      </c>
    </row>
    <row r="31" spans="1:3" ht="16.05" customHeight="1">
      <c r="A31" t="s">
        <v>395</v>
      </c>
      <c r="B31" t="s">
        <v>396</v>
      </c>
      <c r="C31" t="s">
        <v>228</v>
      </c>
    </row>
    <row r="32" spans="1:3" ht="16.05" customHeight="1">
      <c r="A32" t="s">
        <v>254</v>
      </c>
      <c r="B32" t="s">
        <v>255</v>
      </c>
      <c r="C32" t="s">
        <v>86</v>
      </c>
    </row>
    <row r="33" spans="1:3" ht="16.05" customHeight="1">
      <c r="A33" t="s">
        <v>400</v>
      </c>
      <c r="B33" t="s">
        <v>401</v>
      </c>
      <c r="C33" t="s">
        <v>96</v>
      </c>
    </row>
    <row r="34" spans="1:3" ht="16.05" customHeight="1">
      <c r="A34" t="s">
        <v>406</v>
      </c>
      <c r="B34" t="s">
        <v>407</v>
      </c>
      <c r="C34" t="s">
        <v>411</v>
      </c>
    </row>
    <row r="35" spans="1:3" ht="16.05" customHeight="1">
      <c r="A35" t="s">
        <v>412</v>
      </c>
      <c r="B35" t="s">
        <v>413</v>
      </c>
      <c r="C35" t="s">
        <v>418</v>
      </c>
    </row>
    <row r="36" spans="1:3" ht="16.05" customHeight="1">
      <c r="A36" t="s">
        <v>419</v>
      </c>
      <c r="B36" t="s">
        <v>420</v>
      </c>
      <c r="C36" t="s">
        <v>424</v>
      </c>
    </row>
    <row r="37" spans="1:3" ht="16.05" customHeight="1">
      <c r="A37" t="s">
        <v>97</v>
      </c>
      <c r="B37" t="s">
        <v>98</v>
      </c>
      <c r="C37" t="s">
        <v>86</v>
      </c>
    </row>
    <row r="38" spans="1:3" ht="16.05" customHeight="1">
      <c r="A38" t="s">
        <v>103</v>
      </c>
      <c r="B38" t="s">
        <v>104</v>
      </c>
      <c r="C38" t="s">
        <v>86</v>
      </c>
    </row>
    <row r="39" spans="1:3" ht="16.05" customHeight="1">
      <c r="A39" t="s">
        <v>425</v>
      </c>
      <c r="B39" t="s">
        <v>426</v>
      </c>
      <c r="C39" t="s">
        <v>86</v>
      </c>
    </row>
    <row r="40" spans="1:3" ht="16.05" customHeight="1">
      <c r="A40" t="s">
        <v>107</v>
      </c>
      <c r="B40" t="s">
        <v>108</v>
      </c>
      <c r="C40" t="s">
        <v>114</v>
      </c>
    </row>
    <row r="41" spans="1:3" ht="16.05" customHeight="1">
      <c r="A41" t="s">
        <v>431</v>
      </c>
      <c r="B41" t="s">
        <v>432</v>
      </c>
      <c r="C41" t="s">
        <v>86</v>
      </c>
    </row>
    <row r="42" spans="1:3" ht="16.05" customHeight="1">
      <c r="A42" t="s">
        <v>782</v>
      </c>
      <c r="B42" t="s">
        <v>783</v>
      </c>
      <c r="C42" t="s">
        <v>228</v>
      </c>
    </row>
    <row r="43" spans="1:3" ht="16.05" customHeight="1">
      <c r="A43" t="s">
        <v>784</v>
      </c>
      <c r="B43" t="s">
        <v>785</v>
      </c>
      <c r="C43" t="s">
        <v>228</v>
      </c>
    </row>
    <row r="44" spans="1:3" ht="16.05" customHeight="1">
      <c r="A44" t="s">
        <v>433</v>
      </c>
      <c r="B44" t="s">
        <v>434</v>
      </c>
      <c r="C44" t="s">
        <v>96</v>
      </c>
    </row>
    <row r="45" spans="1:3" ht="16.05" customHeight="1">
      <c r="A45" t="s">
        <v>439</v>
      </c>
      <c r="B45" t="s">
        <v>440</v>
      </c>
      <c r="C45" t="s">
        <v>388</v>
      </c>
    </row>
    <row r="46" spans="1:3" ht="16.05" customHeight="1">
      <c r="A46" t="s">
        <v>446</v>
      </c>
      <c r="B46" t="s">
        <v>447</v>
      </c>
      <c r="C46" t="s">
        <v>451</v>
      </c>
    </row>
    <row r="47" spans="1:3" ht="16.05" customHeight="1">
      <c r="A47" t="s">
        <v>259</v>
      </c>
      <c r="B47" t="s">
        <v>260</v>
      </c>
      <c r="C47" t="s">
        <v>86</v>
      </c>
    </row>
    <row r="48" spans="1:3" ht="16.05" customHeight="1">
      <c r="A48" t="s">
        <v>264</v>
      </c>
      <c r="B48" t="s">
        <v>265</v>
      </c>
      <c r="C48" t="s">
        <v>228</v>
      </c>
    </row>
    <row r="49" spans="1:3" ht="16.05" customHeight="1">
      <c r="A49" t="s">
        <v>806</v>
      </c>
      <c r="B49" t="s">
        <v>807</v>
      </c>
      <c r="C49" t="s">
        <v>86</v>
      </c>
    </row>
    <row r="50" spans="1:3" ht="16.05" customHeight="1">
      <c r="A50" t="s">
        <v>115</v>
      </c>
      <c r="B50" t="s">
        <v>116</v>
      </c>
      <c r="C50" t="s">
        <v>114</v>
      </c>
    </row>
    <row r="51" spans="1:3" ht="16.05" customHeight="1">
      <c r="A51" t="s">
        <v>452</v>
      </c>
      <c r="B51" t="s">
        <v>453</v>
      </c>
      <c r="C51" t="s">
        <v>86</v>
      </c>
    </row>
    <row r="52" spans="1:3" ht="16.05" customHeight="1">
      <c r="A52" t="s">
        <v>457</v>
      </c>
      <c r="B52" t="s">
        <v>458</v>
      </c>
      <c r="C52" t="s">
        <v>86</v>
      </c>
    </row>
    <row r="53" spans="1:3" ht="16.05" customHeight="1">
      <c r="A53" t="s">
        <v>462</v>
      </c>
      <c r="B53" t="s">
        <v>463</v>
      </c>
      <c r="C53" t="s">
        <v>86</v>
      </c>
    </row>
    <row r="54" spans="1:3" ht="16.05" customHeight="1">
      <c r="A54" t="s">
        <v>468</v>
      </c>
      <c r="B54" t="s">
        <v>469</v>
      </c>
      <c r="C54" t="s">
        <v>86</v>
      </c>
    </row>
    <row r="55" spans="1:3" ht="16.05" customHeight="1">
      <c r="A55" t="s">
        <v>474</v>
      </c>
      <c r="B55" t="s">
        <v>475</v>
      </c>
      <c r="C55" t="s">
        <v>96</v>
      </c>
    </row>
    <row r="56" spans="1:3" ht="16.05" customHeight="1">
      <c r="A56" t="s">
        <v>234</v>
      </c>
      <c r="B56" t="s">
        <v>235</v>
      </c>
      <c r="C56" t="s">
        <v>228</v>
      </c>
    </row>
    <row r="57" spans="1:3" ht="16.05" customHeight="1">
      <c r="A57" t="s">
        <v>808</v>
      </c>
      <c r="B57" t="s">
        <v>809</v>
      </c>
      <c r="C57" t="s">
        <v>228</v>
      </c>
    </row>
    <row r="58" spans="1:3" ht="16.05" customHeight="1">
      <c r="A58" t="s">
        <v>479</v>
      </c>
      <c r="B58" t="s">
        <v>480</v>
      </c>
      <c r="C58" t="s">
        <v>86</v>
      </c>
    </row>
    <row r="59" spans="1:3" ht="16.05" customHeight="1">
      <c r="A59" t="s">
        <v>120</v>
      </c>
      <c r="B59" t="s">
        <v>121</v>
      </c>
      <c r="C59" t="s">
        <v>114</v>
      </c>
    </row>
    <row r="60" spans="1:3" ht="16.05" customHeight="1">
      <c r="A60" t="s">
        <v>485</v>
      </c>
      <c r="B60" t="s">
        <v>486</v>
      </c>
      <c r="C60" t="s">
        <v>276</v>
      </c>
    </row>
    <row r="61" spans="1:3" ht="16.05" customHeight="1">
      <c r="A61" t="s">
        <v>490</v>
      </c>
      <c r="B61" t="s">
        <v>491</v>
      </c>
      <c r="C61" t="s">
        <v>307</v>
      </c>
    </row>
    <row r="62" spans="1:3" ht="16.05" customHeight="1">
      <c r="A62" t="s">
        <v>495</v>
      </c>
      <c r="B62" t="s">
        <v>496</v>
      </c>
      <c r="C62" t="s">
        <v>501</v>
      </c>
    </row>
    <row r="63" spans="1:3" ht="16.05" customHeight="1">
      <c r="A63" t="s">
        <v>187</v>
      </c>
      <c r="B63" t="s">
        <v>188</v>
      </c>
      <c r="C63" t="s">
        <v>193</v>
      </c>
    </row>
    <row r="64" spans="1:3" ht="16.05" customHeight="1">
      <c r="A64" t="s">
        <v>194</v>
      </c>
      <c r="B64" t="s">
        <v>195</v>
      </c>
      <c r="C64" t="s">
        <v>201</v>
      </c>
    </row>
    <row r="65" spans="1:3" ht="16.05" customHeight="1">
      <c r="A65" t="s">
        <v>127</v>
      </c>
      <c r="B65" t="s">
        <v>128</v>
      </c>
      <c r="C65" t="s">
        <v>96</v>
      </c>
    </row>
    <row r="66" spans="1:3" ht="16.05" customHeight="1">
      <c r="A66" t="s">
        <v>132</v>
      </c>
      <c r="B66" t="s">
        <v>133</v>
      </c>
      <c r="C66" t="s">
        <v>86</v>
      </c>
    </row>
    <row r="67" spans="1:3" ht="16.05" customHeight="1">
      <c r="A67" t="s">
        <v>202</v>
      </c>
      <c r="B67" t="s">
        <v>203</v>
      </c>
      <c r="C67" t="s">
        <v>96</v>
      </c>
    </row>
    <row r="68" spans="1:3" ht="16.05" customHeight="1">
      <c r="A68" t="s">
        <v>502</v>
      </c>
      <c r="B68" t="s">
        <v>503</v>
      </c>
      <c r="C68" t="s">
        <v>86</v>
      </c>
    </row>
    <row r="69" spans="1:3" ht="16.05" customHeight="1">
      <c r="A69" t="s">
        <v>786</v>
      </c>
      <c r="B69" t="s">
        <v>787</v>
      </c>
      <c r="C69" t="s">
        <v>43</v>
      </c>
    </row>
    <row r="70" spans="1:3" ht="16.05" customHeight="1">
      <c r="A70" t="s">
        <v>810</v>
      </c>
      <c r="B70" t="s">
        <v>811</v>
      </c>
      <c r="C70" t="s">
        <v>86</v>
      </c>
    </row>
    <row r="71" spans="1:3" ht="16.05" customHeight="1">
      <c r="A71" t="s">
        <v>509</v>
      </c>
      <c r="B71" t="s">
        <v>510</v>
      </c>
      <c r="C71" t="s">
        <v>86</v>
      </c>
    </row>
    <row r="72" spans="1:3" ht="16.05" customHeight="1">
      <c r="A72" t="s">
        <v>812</v>
      </c>
      <c r="B72" t="s">
        <v>813</v>
      </c>
      <c r="C72" t="s">
        <v>803</v>
      </c>
    </row>
    <row r="73" spans="1:3" ht="16.05" customHeight="1">
      <c r="A73" t="s">
        <v>137</v>
      </c>
      <c r="B73" t="s">
        <v>138</v>
      </c>
      <c r="C73" t="s">
        <v>86</v>
      </c>
    </row>
    <row r="74" spans="1:3" ht="16.05" customHeight="1">
      <c r="A74" t="s">
        <v>143</v>
      </c>
      <c r="B74" t="s">
        <v>144</v>
      </c>
      <c r="C74" t="s">
        <v>86</v>
      </c>
    </row>
    <row r="75" spans="1:3" ht="16.05" customHeight="1">
      <c r="A75" t="s">
        <v>815</v>
      </c>
      <c r="B75" t="s">
        <v>816</v>
      </c>
      <c r="C75" t="s">
        <v>321</v>
      </c>
    </row>
    <row r="76" spans="1:3" ht="16.05" customHeight="1">
      <c r="A76" t="s">
        <v>515</v>
      </c>
      <c r="B76" t="s">
        <v>516</v>
      </c>
      <c r="C76" t="s">
        <v>96</v>
      </c>
    </row>
    <row r="77" spans="1:3" ht="16.05" customHeight="1">
      <c r="A77" t="s">
        <v>520</v>
      </c>
      <c r="B77" t="s">
        <v>521</v>
      </c>
      <c r="C77" t="s">
        <v>524</v>
      </c>
    </row>
    <row r="78" spans="1:3" ht="16.05" customHeight="1">
      <c r="A78" t="s">
        <v>525</v>
      </c>
      <c r="B78" t="s">
        <v>526</v>
      </c>
      <c r="C78" t="s">
        <v>96</v>
      </c>
    </row>
    <row r="79" spans="1:3" ht="16.05" customHeight="1">
      <c r="A79" t="s">
        <v>530</v>
      </c>
      <c r="B79" t="s">
        <v>531</v>
      </c>
      <c r="C79" t="s">
        <v>86</v>
      </c>
    </row>
    <row r="80" spans="1:3" ht="16.05" customHeight="1">
      <c r="A80" t="s">
        <v>208</v>
      </c>
      <c r="B80" t="s">
        <v>209</v>
      </c>
      <c r="C80" t="s">
        <v>114</v>
      </c>
    </row>
    <row r="81" spans="1:3" ht="16.05" customHeight="1">
      <c r="A81" t="s">
        <v>537</v>
      </c>
      <c r="B81" t="s">
        <v>538</v>
      </c>
      <c r="C81" t="s">
        <v>542</v>
      </c>
    </row>
    <row r="82" spans="1:3" ht="16.05" customHeight="1">
      <c r="A82" t="s">
        <v>543</v>
      </c>
      <c r="B82" t="s">
        <v>544</v>
      </c>
      <c r="C82" t="s">
        <v>41</v>
      </c>
    </row>
    <row r="83" spans="1:3" ht="16.05" customHeight="1">
      <c r="A83" t="s">
        <v>545</v>
      </c>
      <c r="B83" t="s">
        <v>546</v>
      </c>
      <c r="C83" t="s">
        <v>86</v>
      </c>
    </row>
    <row r="84" spans="1:3" ht="16.05" customHeight="1">
      <c r="A84" t="s">
        <v>552</v>
      </c>
      <c r="B84" t="s">
        <v>553</v>
      </c>
      <c r="C84" t="s">
        <v>86</v>
      </c>
    </row>
    <row r="85" spans="1:3" ht="16.05" customHeight="1">
      <c r="A85" t="s">
        <v>559</v>
      </c>
      <c r="B85" t="s">
        <v>560</v>
      </c>
      <c r="C85" t="s">
        <v>564</v>
      </c>
    </row>
    <row r="86" spans="1:3" ht="16.05" customHeight="1">
      <c r="A86" t="s">
        <v>817</v>
      </c>
      <c r="B86" t="s">
        <v>818</v>
      </c>
      <c r="C86" t="s">
        <v>86</v>
      </c>
    </row>
    <row r="87" spans="1:3" ht="16.05" customHeight="1">
      <c r="A87" t="s">
        <v>565</v>
      </c>
      <c r="B87" t="s">
        <v>566</v>
      </c>
      <c r="C87" t="s">
        <v>321</v>
      </c>
    </row>
    <row r="88" spans="1:3" ht="16.05" customHeight="1">
      <c r="A88" t="s">
        <v>570</v>
      </c>
      <c r="B88" t="s">
        <v>571</v>
      </c>
      <c r="C88" t="s">
        <v>253</v>
      </c>
    </row>
    <row r="89" spans="1:3" ht="16.05" customHeight="1">
      <c r="A89" t="s">
        <v>576</v>
      </c>
      <c r="B89" t="s">
        <v>577</v>
      </c>
      <c r="C89" t="s">
        <v>86</v>
      </c>
    </row>
    <row r="90" spans="1:3" ht="16.05" customHeight="1">
      <c r="A90" t="s">
        <v>582</v>
      </c>
      <c r="B90" t="s">
        <v>583</v>
      </c>
      <c r="C90" t="s">
        <v>584</v>
      </c>
    </row>
    <row r="91" spans="1:3" ht="16.05" customHeight="1">
      <c r="A91" t="s">
        <v>819</v>
      </c>
      <c r="B91" t="s">
        <v>820</v>
      </c>
      <c r="C91" t="s">
        <v>821</v>
      </c>
    </row>
    <row r="92" spans="1:3" ht="16.05" customHeight="1">
      <c r="A92" t="s">
        <v>585</v>
      </c>
      <c r="B92" t="s">
        <v>586</v>
      </c>
      <c r="C92" t="s">
        <v>161</v>
      </c>
    </row>
    <row r="93" spans="1:3" ht="16.05" customHeight="1">
      <c r="A93" t="s">
        <v>822</v>
      </c>
      <c r="B93" t="s">
        <v>823</v>
      </c>
      <c r="C93" t="s">
        <v>43</v>
      </c>
    </row>
    <row r="94" spans="1:3" ht="16.05" customHeight="1">
      <c r="A94" t="s">
        <v>592</v>
      </c>
      <c r="B94" t="s">
        <v>593</v>
      </c>
      <c r="C94" t="s">
        <v>597</v>
      </c>
    </row>
    <row r="95" spans="1:3" ht="16.05" customHeight="1">
      <c r="A95" t="s">
        <v>215</v>
      </c>
      <c r="B95" t="s">
        <v>216</v>
      </c>
      <c r="C95" t="s">
        <v>201</v>
      </c>
    </row>
    <row r="96" spans="1:3" ht="16.05" customHeight="1">
      <c r="A96" t="s">
        <v>598</v>
      </c>
      <c r="B96" t="s">
        <v>599</v>
      </c>
      <c r="C96" t="s">
        <v>86</v>
      </c>
    </row>
    <row r="97" spans="1:3" ht="16.05" customHeight="1">
      <c r="A97" t="s">
        <v>604</v>
      </c>
      <c r="B97" t="s">
        <v>605</v>
      </c>
      <c r="C97" t="s">
        <v>86</v>
      </c>
    </row>
    <row r="98" spans="1:3" ht="16.05" customHeight="1">
      <c r="A98" t="s">
        <v>610</v>
      </c>
      <c r="B98" t="s">
        <v>611</v>
      </c>
      <c r="C98" t="s">
        <v>96</v>
      </c>
    </row>
    <row r="99" spans="1:3" ht="16.05" customHeight="1">
      <c r="A99" t="s">
        <v>149</v>
      </c>
      <c r="B99" t="s">
        <v>150</v>
      </c>
      <c r="C99" t="s">
        <v>86</v>
      </c>
    </row>
    <row r="100" spans="1:3" ht="16.05" customHeight="1">
      <c r="A100" t="s">
        <v>616</v>
      </c>
      <c r="B100" t="s">
        <v>617</v>
      </c>
      <c r="C100" t="s">
        <v>321</v>
      </c>
    </row>
    <row r="101" spans="1:3" ht="16.05" customHeight="1">
      <c r="A101" t="s">
        <v>238</v>
      </c>
      <c r="B101" t="s">
        <v>239</v>
      </c>
      <c r="C101" t="s">
        <v>228</v>
      </c>
    </row>
    <row r="102" spans="1:3" ht="16.05" customHeight="1">
      <c r="A102" t="s">
        <v>621</v>
      </c>
      <c r="B102" t="s">
        <v>622</v>
      </c>
      <c r="C102" t="s">
        <v>626</v>
      </c>
    </row>
    <row r="103" spans="1:3" ht="16.05" customHeight="1">
      <c r="A103" t="s">
        <v>155</v>
      </c>
      <c r="B103" t="s">
        <v>156</v>
      </c>
      <c r="C103" t="s">
        <v>161</v>
      </c>
    </row>
    <row r="104" spans="1:3" ht="16.05" customHeight="1">
      <c r="A104" t="s">
        <v>824</v>
      </c>
      <c r="B104" t="s">
        <v>825</v>
      </c>
      <c r="C104" t="s">
        <v>394</v>
      </c>
    </row>
    <row r="105" spans="1:3" ht="16.05" customHeight="1">
      <c r="A105" t="s">
        <v>788</v>
      </c>
      <c r="B105" t="s">
        <v>789</v>
      </c>
      <c r="C105" t="s">
        <v>161</v>
      </c>
    </row>
    <row r="106" spans="1:3" ht="16.05" customHeight="1">
      <c r="A106" t="s">
        <v>627</v>
      </c>
      <c r="B106" t="s">
        <v>628</v>
      </c>
      <c r="C106" t="s">
        <v>86</v>
      </c>
    </row>
    <row r="107" spans="1:3" ht="16.05" customHeight="1">
      <c r="A107" t="s">
        <v>629</v>
      </c>
      <c r="B107" t="s">
        <v>630</v>
      </c>
      <c r="C107" t="s">
        <v>86</v>
      </c>
    </row>
    <row r="108" spans="1:3" ht="16.05" customHeight="1">
      <c r="A108" t="s">
        <v>635</v>
      </c>
      <c r="B108" t="s">
        <v>636</v>
      </c>
      <c r="C108" t="s">
        <v>86</v>
      </c>
    </row>
    <row r="109" spans="1:3" ht="16.05" customHeight="1">
      <c r="A109" t="s">
        <v>162</v>
      </c>
      <c r="B109" t="s">
        <v>163</v>
      </c>
      <c r="C109" t="s">
        <v>41</v>
      </c>
    </row>
    <row r="110" spans="1:3" ht="16.05" customHeight="1">
      <c r="A110" t="s">
        <v>641</v>
      </c>
      <c r="B110" t="s">
        <v>642</v>
      </c>
      <c r="C110" t="s">
        <v>647</v>
      </c>
    </row>
    <row r="111" spans="1:3" ht="16.05" customHeight="1">
      <c r="A111" t="s">
        <v>648</v>
      </c>
      <c r="B111" t="s">
        <v>649</v>
      </c>
      <c r="C111" t="s">
        <v>86</v>
      </c>
    </row>
    <row r="112" spans="1:3" ht="16.05" customHeight="1">
      <c r="A112" t="s">
        <v>654</v>
      </c>
      <c r="B112" t="s">
        <v>655</v>
      </c>
      <c r="C112" t="s">
        <v>86</v>
      </c>
    </row>
    <row r="113" spans="1:3" ht="16.05" customHeight="1">
      <c r="A113" t="s">
        <v>826</v>
      </c>
      <c r="B113" t="s">
        <v>827</v>
      </c>
      <c r="C113" t="s">
        <v>41</v>
      </c>
    </row>
    <row r="114" spans="1:3" ht="16.05" customHeight="1">
      <c r="A114" t="s">
        <v>659</v>
      </c>
      <c r="B114" t="s">
        <v>660</v>
      </c>
      <c r="C114" t="s">
        <v>665</v>
      </c>
    </row>
    <row r="115" spans="1:3" ht="16.05" customHeight="1">
      <c r="A115" t="s">
        <v>666</v>
      </c>
      <c r="B115" t="s">
        <v>667</v>
      </c>
      <c r="C115" t="s">
        <v>41</v>
      </c>
    </row>
    <row r="116" spans="1:3" ht="16.05" customHeight="1">
      <c r="A116" t="s">
        <v>243</v>
      </c>
      <c r="B116" t="s">
        <v>244</v>
      </c>
      <c r="C116" t="s">
        <v>228</v>
      </c>
    </row>
    <row r="117" spans="1:3" ht="16.05" customHeight="1">
      <c r="A117" t="s">
        <v>668</v>
      </c>
      <c r="B117" t="s">
        <v>669</v>
      </c>
      <c r="C117" t="s">
        <v>670</v>
      </c>
    </row>
    <row r="118" spans="1:3" ht="16.05" customHeight="1">
      <c r="A118" t="s">
        <v>671</v>
      </c>
      <c r="B118" t="s">
        <v>672</v>
      </c>
      <c r="C118" t="s">
        <v>60</v>
      </c>
    </row>
    <row r="119" spans="1:3" ht="16.05" customHeight="1">
      <c r="A119" t="s">
        <v>673</v>
      </c>
      <c r="B119" t="s">
        <v>674</v>
      </c>
      <c r="C119" t="s">
        <v>86</v>
      </c>
    </row>
    <row r="120" spans="1:3" ht="16.05" customHeight="1">
      <c r="A120" t="s">
        <v>680</v>
      </c>
      <c r="B120" t="s">
        <v>681</v>
      </c>
      <c r="C120" t="s">
        <v>424</v>
      </c>
    </row>
    <row r="121" spans="1:3" ht="16.05" customHeight="1">
      <c r="A121" t="s">
        <v>684</v>
      </c>
      <c r="B121" t="s">
        <v>685</v>
      </c>
      <c r="C121" t="s">
        <v>647</v>
      </c>
    </row>
    <row r="122" spans="1:3" ht="16.05" customHeight="1">
      <c r="A122" t="s">
        <v>686</v>
      </c>
      <c r="B122" t="s">
        <v>687</v>
      </c>
      <c r="C122" t="s">
        <v>388</v>
      </c>
    </row>
    <row r="123" spans="1:3" ht="16.05" customHeight="1">
      <c r="A123" t="s">
        <v>247</v>
      </c>
      <c r="B123" t="s">
        <v>248</v>
      </c>
      <c r="C123" t="s">
        <v>253</v>
      </c>
    </row>
    <row r="124" spans="1:3" ht="16.05" customHeight="1">
      <c r="A124" t="s">
        <v>167</v>
      </c>
      <c r="B124" t="s">
        <v>168</v>
      </c>
      <c r="C124" t="s">
        <v>96</v>
      </c>
    </row>
    <row r="125" spans="1:3" ht="16.05" customHeight="1">
      <c r="A125" t="s">
        <v>270</v>
      </c>
      <c r="B125" t="s">
        <v>271</v>
      </c>
      <c r="C125" t="s">
        <v>276</v>
      </c>
    </row>
    <row r="126" spans="1:3" ht="16.05" customHeight="1">
      <c r="A126" t="s">
        <v>692</v>
      </c>
      <c r="B126" t="s">
        <v>693</v>
      </c>
      <c r="C126" t="s">
        <v>86</v>
      </c>
    </row>
    <row r="127" spans="1:3" ht="16.05" customHeight="1">
      <c r="A127" t="s">
        <v>172</v>
      </c>
      <c r="B127" t="s">
        <v>173</v>
      </c>
      <c r="C127" t="s">
        <v>86</v>
      </c>
    </row>
    <row r="128" spans="1:3" ht="16.05" customHeight="1">
      <c r="A128" t="s">
        <v>697</v>
      </c>
      <c r="B128" t="s">
        <v>698</v>
      </c>
      <c r="C128" t="s">
        <v>86</v>
      </c>
    </row>
    <row r="129" spans="1:3" ht="16.05" customHeight="1">
      <c r="A129" t="s">
        <v>704</v>
      </c>
      <c r="B129" t="s">
        <v>705</v>
      </c>
      <c r="C129" t="s">
        <v>60</v>
      </c>
    </row>
    <row r="130" spans="1:3" ht="16.05" customHeight="1">
      <c r="A130" t="s">
        <v>706</v>
      </c>
      <c r="B130" t="s">
        <v>707</v>
      </c>
      <c r="C130" t="s">
        <v>708</v>
      </c>
    </row>
    <row r="131" spans="1:3" ht="16.05" customHeight="1">
      <c r="A131" t="s">
        <v>709</v>
      </c>
      <c r="B131" t="s">
        <v>710</v>
      </c>
      <c r="C131" t="s">
        <v>86</v>
      </c>
    </row>
    <row r="132" spans="1:3" ht="16.05" customHeight="1">
      <c r="A132" t="s">
        <v>714</v>
      </c>
      <c r="B132" t="s">
        <v>715</v>
      </c>
      <c r="C132" t="s">
        <v>321</v>
      </c>
    </row>
    <row r="133" spans="1:3" ht="16.05" customHeight="1">
      <c r="A133" t="s">
        <v>177</v>
      </c>
      <c r="B133" t="s">
        <v>178</v>
      </c>
      <c r="C133" t="s">
        <v>86</v>
      </c>
    </row>
    <row r="134" spans="1:3" ht="16.05" customHeight="1">
      <c r="A134" t="s">
        <v>720</v>
      </c>
      <c r="B134" t="s">
        <v>721</v>
      </c>
      <c r="C134" t="s">
        <v>86</v>
      </c>
    </row>
    <row r="135" spans="1:3" ht="16.05" customHeight="1">
      <c r="A135" t="s">
        <v>726</v>
      </c>
      <c r="B135" t="s">
        <v>727</v>
      </c>
      <c r="C135" t="s">
        <v>86</v>
      </c>
    </row>
    <row r="136" spans="1:3" ht="16.05" customHeight="1">
      <c r="A136" t="s">
        <v>732</v>
      </c>
      <c r="B136" t="s">
        <v>733</v>
      </c>
      <c r="C136" t="s">
        <v>86</v>
      </c>
    </row>
    <row r="137" spans="1:3" ht="16.05" customHeight="1">
      <c r="A137" t="s">
        <v>828</v>
      </c>
      <c r="B137" t="s">
        <v>829</v>
      </c>
      <c r="C137" t="s">
        <v>193</v>
      </c>
    </row>
    <row r="138" spans="1:3" ht="16.05" customHeight="1">
      <c r="A138" t="s">
        <v>182</v>
      </c>
      <c r="B138" t="s">
        <v>183</v>
      </c>
      <c r="C138" t="s">
        <v>96</v>
      </c>
    </row>
    <row r="139" spans="1:3" ht="16.05" customHeight="1">
      <c r="A139" t="s">
        <v>830</v>
      </c>
      <c r="B139" t="s">
        <v>831</v>
      </c>
      <c r="C139" t="s">
        <v>86</v>
      </c>
    </row>
    <row r="140" spans="1:3" ht="16.05" customHeight="1">
      <c r="A140" t="s">
        <v>738</v>
      </c>
      <c r="B140" t="s">
        <v>739</v>
      </c>
      <c r="C140" t="s">
        <v>86</v>
      </c>
    </row>
    <row r="141" spans="1:3" ht="16.05" customHeight="1">
      <c r="A141" t="s">
        <v>745</v>
      </c>
      <c r="B141" t="s">
        <v>746</v>
      </c>
      <c r="C141" t="s">
        <v>86</v>
      </c>
    </row>
    <row r="142" spans="1:3" ht="16.05" customHeight="1">
      <c r="A142" t="s">
        <v>751</v>
      </c>
      <c r="B142" t="s">
        <v>752</v>
      </c>
      <c r="C142" t="s">
        <v>96</v>
      </c>
    </row>
    <row r="143" spans="1:3" ht="16.05" customHeight="1">
      <c r="A143" t="s">
        <v>757</v>
      </c>
      <c r="B143" t="s">
        <v>758</v>
      </c>
      <c r="C143" t="s">
        <v>86</v>
      </c>
    </row>
    <row r="144" spans="1:3" ht="16.05" customHeight="1">
      <c r="A144" t="s">
        <v>762</v>
      </c>
      <c r="B144" t="s">
        <v>763</v>
      </c>
      <c r="C144" t="s">
        <v>768</v>
      </c>
    </row>
    <row r="145" spans="1:3" ht="16.05" customHeight="1">
      <c r="A145" t="s">
        <v>832</v>
      </c>
      <c r="B145" t="s">
        <v>833</v>
      </c>
      <c r="C145" t="s">
        <v>43</v>
      </c>
    </row>
    <row r="146" spans="1:3" ht="16.05" customHeight="1">
      <c r="A146" t="s">
        <v>769</v>
      </c>
      <c r="B146" t="s">
        <v>770</v>
      </c>
      <c r="C146" t="s">
        <v>86</v>
      </c>
    </row>
    <row r="147" spans="1:3" ht="16.05" customHeight="1">
      <c r="A147" t="s">
        <v>774</v>
      </c>
      <c r="B147" t="s">
        <v>775</v>
      </c>
      <c r="C147" t="s">
        <v>647</v>
      </c>
    </row>
    <row r="148" spans="1:3" ht="16.05" customHeight="1">
      <c r="A148" t="s">
        <v>776</v>
      </c>
      <c r="B148" t="s">
        <v>777</v>
      </c>
      <c r="C148" t="s">
        <v>86</v>
      </c>
    </row>
    <row r="149" spans="1:3" ht="16.05" customHeight="1"/>
    <row r="150" spans="1:3" ht="16.05" customHeight="1"/>
    <row r="151" spans="1:3" ht="16.05" customHeight="1"/>
    <row r="152" spans="1:3" ht="16.05" customHeight="1"/>
    <row r="153" spans="1:3" ht="16.05" customHeight="1"/>
    <row r="154" spans="1:3" ht="16.05" customHeight="1"/>
    <row r="155" spans="1:3" ht="16.05" customHeight="1"/>
    <row r="156" spans="1:3" ht="16.05" customHeight="1"/>
    <row r="157" spans="1:3" ht="16.05" customHeight="1"/>
    <row r="158" spans="1:3" ht="16.05" customHeight="1"/>
    <row r="159" spans="1:3" ht="16.05" customHeight="1"/>
    <row r="160" spans="1:3" ht="16.05" customHeight="1"/>
    <row r="161" ht="16.05" customHeight="1"/>
    <row r="162" ht="16.05" customHeight="1"/>
    <row r="163" ht="16.05" customHeight="1"/>
    <row r="164" ht="16.05" customHeight="1"/>
    <row r="165" ht="16.05" customHeight="1"/>
    <row r="166" ht="16.05" customHeight="1"/>
    <row r="167" ht="16.05" customHeight="1"/>
    <row r="168" ht="16.05" customHeight="1"/>
    <row r="169" ht="16.05" customHeight="1"/>
    <row r="170" ht="16.05" customHeight="1"/>
    <row r="171" ht="16.05" customHeight="1"/>
    <row r="172" ht="16.05" customHeight="1"/>
    <row r="173" ht="16.05" customHeight="1"/>
    <row r="174" ht="16.05" customHeight="1"/>
    <row r="175" ht="16.05" customHeight="1"/>
    <row r="176" ht="16.05" customHeight="1"/>
    <row r="177" ht="16.05" customHeight="1"/>
    <row r="178" ht="16.05" customHeight="1"/>
    <row r="179" ht="16.05" customHeight="1"/>
    <row r="180" ht="16.05" customHeight="1"/>
    <row r="181" ht="16.05" customHeight="1"/>
    <row r="182" ht="16.05" customHeight="1"/>
    <row r="183" ht="16.05" customHeight="1"/>
    <row r="184" ht="16.05" customHeight="1"/>
    <row r="185" ht="16.05" customHeight="1"/>
    <row r="186" ht="16.05" customHeight="1"/>
    <row r="187" ht="16.05" customHeight="1"/>
    <row r="188" ht="16.05" customHeight="1"/>
    <row r="189" ht="16.05" customHeight="1"/>
    <row r="190" ht="16.05" customHeight="1"/>
    <row r="191" ht="16.05" customHeight="1"/>
    <row r="192" ht="16.05" customHeight="1"/>
    <row r="193" ht="16.05" customHeight="1"/>
    <row r="194" ht="16.05" customHeight="1"/>
    <row r="195" ht="16.05" customHeight="1"/>
    <row r="196" ht="16.05" customHeight="1"/>
    <row r="197" ht="16.05" customHeight="1"/>
    <row r="198" ht="16.05" customHeight="1"/>
    <row r="199" ht="16.05" customHeight="1"/>
    <row r="200" ht="16.05" customHeight="1"/>
    <row r="201" ht="16.05" customHeight="1"/>
    <row r="202" ht="16.05" customHeight="1"/>
    <row r="203" ht="16.05" customHeight="1"/>
    <row r="204" ht="16.05" customHeight="1"/>
    <row r="205" ht="16.05" customHeight="1"/>
    <row r="206" ht="16.05" customHeight="1"/>
    <row r="207" ht="16.05" customHeight="1"/>
    <row r="208" ht="16.05" customHeight="1"/>
    <row r="209" ht="16.05" customHeight="1"/>
    <row r="210" ht="16.05" customHeight="1"/>
    <row r="211" ht="16.05" customHeight="1"/>
    <row r="212" ht="16.05" customHeight="1"/>
    <row r="213" ht="16.05" customHeight="1"/>
    <row r="214" ht="16.05" customHeight="1"/>
    <row r="215" ht="16.05" customHeight="1"/>
    <row r="216" ht="16.05" customHeight="1"/>
    <row r="217" ht="16.05" customHeight="1"/>
    <row r="218" ht="16.05" customHeight="1"/>
    <row r="219" ht="16.05" customHeight="1"/>
    <row r="220" ht="16.05" customHeight="1"/>
    <row r="221" ht="16.05" customHeight="1"/>
    <row r="222" ht="16.05" customHeight="1"/>
    <row r="223" ht="16.05" customHeight="1"/>
    <row r="224" ht="16.05" customHeight="1"/>
    <row r="225" ht="16.05" customHeight="1"/>
    <row r="226" ht="16.05" customHeight="1"/>
    <row r="227" ht="16.05" customHeight="1"/>
    <row r="228" ht="16.05" customHeight="1"/>
    <row r="229" ht="16.05" customHeight="1"/>
    <row r="230" ht="16.05" customHeight="1"/>
    <row r="231" ht="16.05" customHeight="1"/>
    <row r="232" ht="16.05" customHeight="1"/>
    <row r="233" ht="16.05" customHeight="1"/>
    <row r="234" ht="16.05" customHeight="1"/>
    <row r="235" ht="16.05" customHeight="1"/>
    <row r="236" ht="16.05" customHeight="1"/>
    <row r="237" ht="16.05" customHeight="1"/>
    <row r="238" ht="16.05" customHeight="1"/>
    <row r="239" ht="16.05" customHeight="1"/>
    <row r="240" ht="16.05" customHeight="1"/>
    <row r="241" ht="16.05" customHeight="1"/>
    <row r="242" ht="16.05" customHeight="1"/>
    <row r="243" ht="16.05" customHeight="1"/>
    <row r="244" ht="16.05" customHeight="1"/>
    <row r="245" ht="16.05" customHeight="1"/>
    <row r="246" ht="16.05" customHeight="1"/>
    <row r="247" ht="16.05" customHeight="1"/>
    <row r="248" ht="16.05" customHeight="1"/>
    <row r="249" ht="16.05" customHeight="1"/>
    <row r="250" ht="16.05" customHeight="1"/>
    <row r="251" ht="16.05" customHeight="1"/>
    <row r="252" ht="16.05" customHeight="1"/>
    <row r="253" ht="16.05" customHeight="1"/>
    <row r="254" ht="16.05" customHeight="1"/>
    <row r="255" ht="16.05" customHeight="1"/>
    <row r="256" ht="16.05" customHeight="1"/>
    <row r="257" ht="16.05" customHeight="1"/>
    <row r="258" ht="16.05" customHeight="1"/>
    <row r="259" ht="16.05" customHeight="1"/>
    <row r="260" ht="16.05" customHeight="1"/>
    <row r="261" ht="16.05" customHeight="1"/>
    <row r="262" ht="16.05" customHeight="1"/>
    <row r="263" ht="16.05" customHeight="1"/>
    <row r="264" ht="16.05" customHeight="1"/>
    <row r="265" ht="16.05" customHeight="1"/>
    <row r="266" ht="16.05" customHeight="1"/>
    <row r="267" ht="16.05" customHeight="1"/>
    <row r="268" ht="16.05" customHeight="1"/>
    <row r="269" ht="16.05" customHeight="1"/>
    <row r="270" ht="16.05" customHeight="1"/>
    <row r="271" ht="16.05" customHeight="1"/>
    <row r="272" ht="16.05" customHeight="1"/>
    <row r="273" ht="16.05" customHeight="1"/>
    <row r="274" ht="16.05" customHeight="1"/>
    <row r="275" ht="16.05" customHeight="1"/>
    <row r="276" ht="16.05" customHeight="1"/>
    <row r="277" ht="16.05" customHeight="1"/>
    <row r="278" ht="16.05" customHeight="1"/>
    <row r="279" ht="16.05" customHeight="1"/>
    <row r="280" ht="16.05" customHeight="1"/>
    <row r="281" ht="16.05" customHeight="1"/>
    <row r="282" ht="16.05" customHeight="1"/>
    <row r="283" ht="16.05" customHeight="1"/>
    <row r="284" ht="16.05" customHeight="1"/>
    <row r="285" ht="16.05" customHeight="1"/>
    <row r="286" ht="16.05" customHeight="1"/>
    <row r="287" ht="16.05" customHeight="1"/>
    <row r="288" ht="16.05" customHeight="1"/>
    <row r="289" ht="16.05" customHeight="1"/>
    <row r="290" ht="16.05" customHeight="1"/>
    <row r="291" ht="16.05" customHeight="1"/>
    <row r="292" ht="16.05" customHeight="1"/>
    <row r="293" ht="16.05" customHeight="1"/>
    <row r="294" ht="16.05" customHeight="1"/>
    <row r="295" ht="16.05" customHeight="1"/>
    <row r="296" ht="16.05" customHeight="1"/>
    <row r="297" ht="16.05" customHeight="1"/>
    <row r="298" ht="16.05" customHeight="1"/>
    <row r="299" ht="16.05" customHeight="1"/>
    <row r="300" ht="16.05" customHeight="1"/>
    <row r="301" ht="16.05" customHeight="1"/>
    <row r="302" ht="16.05" customHeight="1"/>
    <row r="303" ht="16.05" customHeight="1"/>
    <row r="304" ht="16.05" customHeight="1"/>
    <row r="305" ht="16.05" customHeight="1"/>
    <row r="306" ht="16.05" customHeight="1"/>
    <row r="307" ht="16.05" customHeight="1"/>
    <row r="308" ht="16.05" customHeight="1"/>
    <row r="309" ht="16.05" customHeight="1"/>
    <row r="310" ht="16.05" customHeight="1"/>
    <row r="311" ht="16.05" customHeight="1"/>
    <row r="312" ht="16.05" customHeight="1"/>
    <row r="313" ht="16.05" customHeight="1"/>
    <row r="314" ht="16.05" customHeight="1"/>
    <row r="315" ht="16.05" customHeight="1"/>
    <row r="316" ht="16.05" customHeight="1"/>
    <row r="317" ht="16.05" customHeight="1"/>
    <row r="318" ht="16.05" customHeight="1"/>
    <row r="319" ht="16.05" customHeight="1"/>
    <row r="320" ht="16.05" customHeight="1"/>
    <row r="321" ht="16.05" customHeight="1"/>
    <row r="322" ht="16.05" customHeight="1"/>
    <row r="323" ht="16.05" customHeight="1"/>
    <row r="324" ht="16.05" customHeight="1"/>
    <row r="325" ht="16.05" customHeight="1"/>
    <row r="326" ht="16.05" customHeight="1"/>
    <row r="327" ht="16.05" customHeight="1"/>
    <row r="328" ht="16.05" customHeight="1"/>
    <row r="329" ht="16.05" customHeight="1"/>
    <row r="330" ht="16.05" customHeight="1"/>
    <row r="331" ht="16.05" customHeight="1"/>
    <row r="332" ht="16.05" customHeight="1"/>
    <row r="333" ht="16.05" customHeight="1"/>
    <row r="334" ht="16.05" customHeight="1"/>
    <row r="335" ht="16.05" customHeight="1"/>
    <row r="336" ht="16.05" customHeight="1"/>
    <row r="337" ht="16.05" customHeight="1"/>
    <row r="338" ht="16.05" customHeight="1"/>
    <row r="339" ht="16.05" customHeight="1"/>
    <row r="340" ht="16.05" customHeight="1"/>
    <row r="341" ht="16.05" customHeight="1"/>
    <row r="342" ht="16.05" customHeight="1"/>
    <row r="343" ht="16.05" customHeight="1"/>
    <row r="344" ht="16.05" customHeight="1"/>
    <row r="345" ht="16.05" customHeight="1"/>
    <row r="346" ht="16.05" customHeight="1"/>
    <row r="347" ht="16.05" customHeight="1"/>
    <row r="348" ht="16.05" customHeight="1"/>
    <row r="349" ht="16.05" customHeight="1"/>
    <row r="350" ht="16.05" customHeight="1"/>
    <row r="351" ht="16.05" customHeight="1"/>
    <row r="352" ht="16.05" customHeight="1"/>
    <row r="353" ht="16.05" customHeight="1"/>
    <row r="354" ht="16.05" customHeight="1"/>
    <row r="355" ht="16.05" customHeight="1"/>
    <row r="356" ht="16.05" customHeight="1"/>
    <row r="357" ht="16.05" customHeight="1"/>
    <row r="358" ht="16.05" customHeight="1"/>
    <row r="359" ht="16.05" customHeight="1"/>
    <row r="360" ht="16.05" customHeight="1"/>
    <row r="361" ht="16.05" customHeight="1"/>
    <row r="362" ht="16.05" customHeight="1"/>
    <row r="363" ht="16.05" customHeight="1"/>
    <row r="364" ht="16.05" customHeight="1"/>
    <row r="365" ht="16.05" customHeight="1"/>
    <row r="366" ht="16.05" customHeight="1"/>
    <row r="367" ht="16.05" customHeight="1"/>
    <row r="368" ht="16.05" customHeight="1"/>
    <row r="369" ht="16.05" customHeight="1"/>
    <row r="370" ht="16.05" customHeight="1"/>
    <row r="371" ht="16.05" customHeight="1"/>
    <row r="372" ht="16.05" customHeight="1"/>
    <row r="373" ht="16.05" customHeight="1"/>
    <row r="374" ht="16.05" customHeight="1"/>
    <row r="375" ht="16.05" customHeight="1"/>
    <row r="376" ht="16.05" customHeight="1"/>
    <row r="377" ht="16.05" customHeight="1"/>
    <row r="378" ht="16.05" customHeight="1"/>
    <row r="379" ht="16.05" customHeight="1"/>
    <row r="380" ht="16.05" customHeight="1"/>
    <row r="381" ht="16.05" customHeight="1"/>
    <row r="382" ht="16.05" customHeight="1"/>
    <row r="383" ht="16.05" customHeight="1"/>
    <row r="384" ht="16.05" customHeight="1"/>
    <row r="385" ht="16.05" customHeight="1"/>
    <row r="386" ht="16.05" customHeight="1"/>
    <row r="387" ht="16.05" customHeight="1"/>
    <row r="388" ht="16.05" customHeight="1"/>
    <row r="389" ht="16.05" customHeight="1"/>
    <row r="390" ht="16.05" customHeight="1"/>
    <row r="391" ht="16.05" customHeight="1"/>
    <row r="392" ht="16.05" customHeight="1"/>
    <row r="393" ht="16.05" customHeight="1"/>
    <row r="394" ht="16.05" customHeight="1"/>
    <row r="395" ht="16.05" customHeight="1"/>
    <row r="396" ht="16.05" customHeight="1"/>
    <row r="397" ht="16.05" customHeight="1"/>
    <row r="398" ht="16.05" customHeight="1"/>
    <row r="399" ht="16.05" customHeight="1"/>
    <row r="400" ht="16.05" customHeight="1"/>
    <row r="401" ht="16.05" customHeight="1"/>
    <row r="402" ht="16.05" customHeight="1"/>
    <row r="403" ht="16.05" customHeight="1"/>
    <row r="404" ht="16.05" customHeight="1"/>
    <row r="405" ht="16.05" customHeight="1"/>
    <row r="406" ht="16.05" customHeight="1"/>
    <row r="407" ht="16.05" customHeight="1"/>
    <row r="408" ht="16.05" customHeight="1"/>
    <row r="409" ht="16.05" customHeight="1"/>
    <row r="410" ht="16.05" customHeight="1"/>
    <row r="411" ht="16.05" customHeight="1"/>
    <row r="412" ht="16.05" customHeight="1"/>
    <row r="413" ht="16.05" customHeight="1"/>
    <row r="414" ht="16.05" customHeight="1"/>
    <row r="415" ht="16.05" customHeight="1"/>
    <row r="416" ht="16.05" customHeight="1"/>
    <row r="417" ht="16.05" customHeight="1"/>
    <row r="418" ht="16.05" customHeight="1"/>
    <row r="419" ht="16.05" customHeight="1"/>
    <row r="420" ht="16.05" customHeight="1"/>
    <row r="421" ht="16.05" customHeight="1"/>
    <row r="422" ht="16.05" customHeight="1"/>
    <row r="423" ht="16.05" customHeight="1"/>
    <row r="424" ht="16.05" customHeight="1"/>
    <row r="425" ht="16.05" customHeight="1"/>
    <row r="426" ht="16.05" customHeight="1"/>
    <row r="427" ht="16.05" customHeight="1"/>
    <row r="428" ht="16.05" customHeight="1"/>
    <row r="429" ht="16.05" customHeight="1"/>
    <row r="430" ht="16.05" customHeight="1"/>
    <row r="431" ht="16.05" customHeight="1"/>
    <row r="432" ht="16.05" customHeight="1"/>
    <row r="433" ht="16.05" customHeight="1"/>
    <row r="434" ht="16.05" customHeight="1"/>
    <row r="435" ht="16.05" customHeight="1"/>
    <row r="436" ht="16.05" customHeight="1"/>
    <row r="437" ht="16.05" customHeight="1"/>
    <row r="438" ht="16.05" customHeight="1"/>
    <row r="439" ht="16.05" customHeight="1"/>
    <row r="440" ht="16.05" customHeight="1"/>
    <row r="441" ht="16.05" customHeight="1"/>
    <row r="442" ht="16.05" customHeight="1"/>
    <row r="443" ht="16.05" customHeight="1"/>
    <row r="444" ht="16.05" customHeight="1"/>
    <row r="445" ht="16.05" customHeight="1"/>
    <row r="446" ht="16.05" customHeight="1"/>
    <row r="447" ht="16.05" customHeight="1"/>
    <row r="448" ht="16.05" customHeight="1"/>
    <row r="449" ht="16.05" customHeight="1"/>
    <row r="450" ht="16.05" customHeight="1"/>
    <row r="451" ht="16.05" customHeight="1"/>
    <row r="452" ht="16.05" customHeight="1"/>
    <row r="453" ht="16.05" customHeight="1"/>
    <row r="454" ht="16.05" customHeight="1"/>
    <row r="455" ht="16.05" customHeight="1"/>
    <row r="456" ht="16.05" customHeight="1"/>
    <row r="457" ht="16.05" customHeight="1"/>
    <row r="458" ht="16.05" customHeight="1"/>
    <row r="459" ht="16.05" customHeight="1"/>
    <row r="460" ht="16.05" customHeight="1"/>
    <row r="461" ht="16.05" customHeight="1"/>
    <row r="462" ht="16.05" customHeight="1"/>
    <row r="463" ht="16.05" customHeight="1"/>
    <row r="464" ht="16.05" customHeight="1"/>
    <row r="465" ht="16.05" customHeight="1"/>
    <row r="466" ht="16.05" customHeight="1"/>
    <row r="467" ht="16.05" customHeight="1"/>
    <row r="468" ht="16.05" customHeight="1"/>
    <row r="469" ht="16.05" customHeight="1"/>
    <row r="470" ht="16.05" customHeight="1"/>
    <row r="471" ht="16.05" customHeight="1"/>
    <row r="472" ht="16.05" customHeight="1"/>
    <row r="473" ht="16.05" customHeight="1"/>
    <row r="474" ht="16.05" customHeight="1"/>
    <row r="475" ht="16.05" customHeight="1"/>
    <row r="476" ht="16.05" customHeight="1"/>
    <row r="477" ht="16.05" customHeight="1"/>
    <row r="478" ht="16.05" customHeight="1"/>
    <row r="479" ht="16.05" customHeight="1"/>
    <row r="480" ht="16.05" customHeight="1"/>
    <row r="481" ht="16.05" customHeight="1"/>
    <row r="482" ht="16.05" customHeight="1"/>
    <row r="483" ht="16.05" customHeight="1"/>
    <row r="484" ht="16.05" customHeight="1"/>
    <row r="485" ht="16.05" customHeight="1"/>
    <row r="486" ht="16.05" customHeight="1"/>
    <row r="487" ht="16.05" customHeight="1"/>
    <row r="488" ht="16.05" customHeight="1"/>
    <row r="489" ht="16.05" customHeight="1"/>
    <row r="490" ht="16.05" customHeight="1"/>
    <row r="491" ht="16.05" customHeight="1"/>
    <row r="492" ht="16.05" customHeight="1"/>
    <row r="493" ht="16.05" customHeight="1"/>
    <row r="494" ht="16.05" customHeight="1"/>
    <row r="495" ht="16.05" customHeight="1"/>
    <row r="496" ht="16.05" customHeight="1"/>
    <row r="497" ht="16.05" customHeight="1"/>
    <row r="498" ht="16.05" customHeight="1"/>
    <row r="499" ht="16.05" customHeight="1"/>
    <row r="500" ht="16.0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Division_Summary</vt:lpstr>
      <vt:lpstr>SKU_Cost_Input</vt:lpstr>
      <vt:lpstr>User_Match</vt:lpstr>
      <vt:lpstr>Allocation_Detail</vt:lpstr>
      <vt:lpstr>Review_Queue</vt:lpstr>
      <vt:lpstr>Employee_Master</vt:lpstr>
      <vt:lpstr>License_Raw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Nadhira Bux</cp:lastModifiedBy>
  <dcterms:modified xsi:type="dcterms:W3CDTF">2026-03-26T08:40:29Z</dcterms:modified>
</cp:coreProperties>
</file>