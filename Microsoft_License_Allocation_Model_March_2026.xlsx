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8" autoFilterDateGrouping="1"/>
  </bookViews>
  <sheets>
    <sheet name="Read_Me" sheetId="1" state="visible" r:id="rId1"/>
    <sheet name="Invoice_Input" sheetId="2" state="visible" r:id="rId2"/>
    <sheet name="Employee_Master" sheetId="3" state="visible" r:id="rId3"/>
    <sheet name="License_Raw" sheetId="4" state="visible" r:id="rId4"/>
    <sheet name="User_Match" sheetId="5" state="visible" r:id="rId5"/>
    <sheet name="SKU_Cost_Input" sheetId="6" state="visible" r:id="rId6"/>
    <sheet name="Allocation_Detail" sheetId="7" state="visible" r:id="rId7"/>
    <sheet name="Allocation_Pivot" sheetId="8" state="visible" r:id="rId8"/>
    <sheet name="Division_Summary" sheetId="9" state="visible" r:id="rId9"/>
    <sheet name="Licence_Cleanup" sheetId="10" state="visible" r:id="rId10"/>
    <sheet name="Review_Queue" sheetId="11" state="visible" r:id="rId11"/>
    <sheet name="Admin_CSV_Snapshot" sheetId="12" state="visible" r:id="rId12"/>
    <sheet name="COITE_Query" sheetId="13" state="visible" r:id="rId13"/>
  </sheets>
  <definedNames>
    <definedName name="_xlnm._FilterDatabase" localSheetId="2" hidden="1">'Employee_Master'!$A$1:$K$121</definedName>
    <definedName name="_xlnm._FilterDatabase" localSheetId="3" hidden="1">'License_Raw'!$A$1:$C$148</definedName>
    <definedName name="_xlnm._FilterDatabase" localSheetId="4" hidden="1">'User_Match'!$A$1:$N$148</definedName>
    <definedName name="_xlnm._FilterDatabase" localSheetId="5" hidden="1">'SKU_Cost_Input'!$A$1:$K$32</definedName>
    <definedName name="_xlnm._FilterDatabase" localSheetId="6" hidden="1">'Allocation_Detail'!$A$1:$N$406</definedName>
    <definedName name="_xlnm._FilterDatabase" localSheetId="7" hidden="1">'Allocation_Pivot'!$A$4:$D$65</definedName>
    <definedName name="_xlnm._FilterDatabase" localSheetId="9" hidden="1">'Licence_Cleanup'!$A$4:$H$27</definedName>
    <definedName name="_xlnm._FilterDatabase" localSheetId="10" hidden="1">'Review_Queue'!$A$1:$L$2</definedName>
    <definedName name="_xlnm._FilterDatabase" localSheetId="11" hidden="1">'Admin_CSV_Snapshot'!$A$4:$K$189</definedName>
    <definedName name="_xlnm._FilterDatabase" localSheetId="12" hidden="1">'COITE_Query'!$A$5:$I$19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b val="1"/>
      <color rgb="002F5496"/>
      <sz val="11"/>
    </font>
    <font>
      <i val="1"/>
      <color rgb="00808080"/>
    </font>
    <font>
      <b val="1"/>
    </font>
    <font/>
    <font>
      <b val="1"/>
      <sz val="12"/>
    </font>
    <font>
      <b val="1"/>
      <sz val="14"/>
    </font>
    <font>
      <name val="Calibri"/>
      <b val="1"/>
      <color rgb="00FFFFFF"/>
      <sz val="11"/>
    </font>
    <font>
      <b val="1"/>
      <color rgb="00C00000"/>
    </font>
    <font>
      <b val="1"/>
      <color rgb="00C00000"/>
      <sz val="12"/>
    </font>
    <font>
      <i val="1"/>
      <color rgb="00C00000"/>
    </font>
  </fonts>
  <fills count="10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0" fillId="2" borderId="1" applyProtection="1" pivotButton="0" quotePrefix="0" xfId="0">
      <protection locked="0" hidden="0"/>
    </xf>
    <xf numFmtId="0" fontId="5" fillId="0" borderId="1" pivotButton="0" quotePrefix="0" xfId="0"/>
    <xf numFmtId="0" fontId="0" fillId="0" borderId="1" pivotButton="0" quotePrefix="0" xfId="0"/>
    <xf numFmtId="4" fontId="0" fillId="2" borderId="1" applyProtection="1" pivotButton="0" quotePrefix="0" xfId="0">
      <protection locked="0" hidden="0"/>
    </xf>
    <xf numFmtId="164" fontId="0" fillId="2" borderId="1" applyProtection="1" pivotButton="0" quotePrefix="0" xfId="0">
      <protection locked="0" hidden="0"/>
    </xf>
    <xf numFmtId="4" fontId="0" fillId="3" borderId="1" pivotButton="0" quotePrefix="0" xfId="0"/>
    <xf numFmtId="4" fontId="6" fillId="0" borderId="1" pivotButton="0" quotePrefix="0" xfId="0"/>
    <xf numFmtId="0" fontId="7" fillId="0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4" fontId="4" fillId="2" borderId="1" applyAlignment="1" applyProtection="1" pivotButton="0" quotePrefix="0" xfId="0">
      <alignment vertical="center"/>
      <protection locked="0" hidden="0"/>
    </xf>
    <xf numFmtId="4" fontId="0" fillId="0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9" fillId="6" borderId="1" applyAlignment="1" pivotButton="0" quotePrefix="0" xfId="0">
      <alignment vertical="center"/>
    </xf>
    <xf numFmtId="4" fontId="4" fillId="7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4" fontId="4" fillId="3" borderId="1" applyAlignment="1" pivotButton="0" quotePrefix="0" xfId="0">
      <alignment vertical="center"/>
    </xf>
    <xf numFmtId="0" fontId="9" fillId="0" borderId="0" pivotButton="0" quotePrefix="0" xfId="0"/>
    <xf numFmtId="0" fontId="4" fillId="0" borderId="0" pivotButton="0" quotePrefix="0" xfId="0"/>
    <xf numFmtId="4" fontId="0" fillId="0" borderId="0" pivotButton="0" quotePrefix="0" xfId="0"/>
    <xf numFmtId="0" fontId="10" fillId="0" borderId="0" pivotButton="0" quotePrefix="0" xfId="0"/>
    <xf numFmtId="4" fontId="10" fillId="0" borderId="0" pivotButton="0" quotePrefix="0" xfId="0"/>
    <xf numFmtId="0" fontId="6" fillId="0" borderId="0" pivotButton="0" quotePrefix="0" xfId="0"/>
    <xf numFmtId="0" fontId="0" fillId="8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0" fontId="8" fillId="4" borderId="1" pivotButton="0" quotePrefix="0" xfId="0"/>
    <xf numFmtId="0" fontId="0" fillId="3" borderId="1" pivotButton="0" quotePrefix="0" xfId="0"/>
    <xf numFmtId="0" fontId="6" fillId="3" borderId="1" pivotButton="0" quotePrefix="0" xfId="0"/>
    <xf numFmtId="164" fontId="0" fillId="0" borderId="1" applyAlignment="1" pivotButton="0" quotePrefix="0" xfId="0">
      <alignment vertical="center"/>
    </xf>
    <xf numFmtId="0" fontId="4" fillId="3" borderId="1" pivotButton="0" quotePrefix="0" xfId="0"/>
    <xf numFmtId="4" fontId="4" fillId="3" borderId="1" pivotButton="0" quotePrefix="0" xfId="0"/>
    <xf numFmtId="164" fontId="4" fillId="3" borderId="1" pivotButton="0" quotePrefix="0" xfId="0"/>
    <xf numFmtId="4" fontId="0" fillId="5" borderId="1" applyAlignment="1" pivotButton="0" quotePrefix="0" xfId="0">
      <alignment vertical="center"/>
    </xf>
    <xf numFmtId="4" fontId="0" fillId="6" borderId="1" applyAlignment="1" pivotButton="0" quotePrefix="0" xfId="0">
      <alignment vertical="center"/>
    </xf>
    <xf numFmtId="0" fontId="4" fillId="5" borderId="1" pivotButton="0" quotePrefix="0" xfId="0"/>
    <xf numFmtId="0" fontId="0" fillId="5" borderId="1" pivotButton="0" quotePrefix="0" xfId="0"/>
    <xf numFmtId="0" fontId="4" fillId="6" borderId="1" pivotButton="0" quotePrefix="0" xfId="0"/>
    <xf numFmtId="0" fontId="0" fillId="6" borderId="1" pivotButton="0" quotePrefix="0" xfId="0"/>
    <xf numFmtId="0" fontId="10" fillId="3" borderId="1" pivotButton="0" quotePrefix="0" xfId="0"/>
    <xf numFmtId="4" fontId="10" fillId="3" borderId="1" pivotButton="0" quotePrefix="0" xfId="0"/>
    <xf numFmtId="4" fontId="9" fillId="6" borderId="1" applyAlignment="1" pivotButton="0" quotePrefix="0" xfId="0">
      <alignment vertical="center"/>
    </xf>
    <xf numFmtId="0" fontId="11" fillId="0" borderId="0" pivotButton="0" quotePrefix="0" xfId="0"/>
    <xf numFmtId="0" fontId="9" fillId="5" borderId="1" applyAlignment="1" pivotButton="0" quotePrefix="0" xfId="0">
      <alignment vertical="center"/>
    </xf>
    <xf numFmtId="4" fontId="9" fillId="5" borderId="1" applyAlignment="1" pivotButton="0" quotePrefix="0" xfId="0">
      <alignment vertical="center"/>
    </xf>
    <xf numFmtId="0" fontId="0" fillId="2" borderId="1" applyAlignment="1" applyProtection="1" pivotButton="0" quotePrefix="0" xfId="0">
      <alignment vertical="center"/>
      <protection locked="0" hidden="0"/>
    </xf>
    <xf numFmtId="0" fontId="5" fillId="6" borderId="1" applyAlignment="1" pivotButton="0" quotePrefix="0" xfId="0">
      <alignment vertical="center"/>
    </xf>
    <xf numFmtId="4" fontId="10" fillId="5" borderId="1" pivotButton="0" quotePrefix="0" xfId="0"/>
    <xf numFmtId="0" fontId="4" fillId="7" borderId="1" pivotButton="0" quotePrefix="0" xfId="0"/>
    <xf numFmtId="0" fontId="0" fillId="7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E2EFDA"/>
          <bgColor rgb="00E2EFDA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F2CC"/>
          <b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A51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Microsoft License Cost Allocation Model</t>
        </is>
      </c>
    </row>
    <row r="2">
      <c r="A2" t="inlineStr"/>
    </row>
    <row r="3">
      <c r="A3" s="2" t="inlineStr">
        <is>
          <t>Purpose</t>
        </is>
      </c>
    </row>
    <row r="4">
      <c r="A4" t="inlineStr">
        <is>
          <t>Allocate total Microsoft license costs to internal cost centres (RS, AFS, Namibia, Mozambique)</t>
        </is>
      </c>
    </row>
    <row r="5">
      <c r="A5" t="inlineStr">
        <is>
          <t>based on active licensed users, using per-license SKU allocation aligned with Microsoft invoicing.</t>
        </is>
      </c>
    </row>
    <row r="6">
      <c r="A6" t="inlineStr"/>
    </row>
    <row r="7">
      <c r="A7" s="2" t="inlineStr">
        <is>
          <t>How To Use (Monthly)</t>
        </is>
      </c>
    </row>
    <row r="8">
      <c r="A8" t="inlineStr">
        <is>
          <t>1. Complete Invoice_Input: enter invoice total (incl VAT), VAT rate, exchange rate, billing period</t>
        </is>
      </c>
    </row>
    <row r="9">
      <c r="A9" t="inlineStr">
        <is>
          <t>2. Replace License_Raw data with the new month's Microsoft Admin Centre export</t>
        </is>
      </c>
    </row>
    <row r="10">
      <c r="A10" t="inlineStr">
        <is>
          <t>3. Update Employee_Master if there are new starters/leavers</t>
        </is>
      </c>
    </row>
    <row r="11">
      <c r="A11" t="inlineStr">
        <is>
          <t>4. Enter monthly invoice line-item amounts per SKU on SKU_Cost_Input (yellow cells)</t>
        </is>
      </c>
    </row>
    <row r="12">
      <c r="A12" t="inlineStr">
        <is>
          <t>5. CHECK: Verify the Reconciliation section on Division_Summary — variance must be R0.00</t>
        </is>
      </c>
    </row>
    <row r="13">
      <c r="A13" t="inlineStr">
        <is>
          <t>6. Review the Review_Queue for any unresolved user mappings</t>
        </is>
      </c>
    </row>
    <row r="14">
      <c r="A14" t="inlineStr">
        <is>
          <t>7. Send Division_Summary to Finance</t>
        </is>
      </c>
    </row>
    <row r="15">
      <c r="A15" t="inlineStr"/>
    </row>
    <row r="16">
      <c r="A16" s="2" t="inlineStr">
        <is>
          <t>Key Rules</t>
        </is>
      </c>
    </row>
    <row r="17">
      <c r="A17" t="inlineStr">
        <is>
          <t>- Email address is the unique key for matching users across datasets</t>
        </is>
      </c>
    </row>
    <row r="18">
      <c r="A18" t="inlineStr">
        <is>
          <t>- Cost per SKU ÷ number of users on that SKU = unit cost per user</t>
        </is>
      </c>
    </row>
    <row r="19">
      <c r="A19" t="inlineStr">
        <is>
          <t>- Allocation based on user's home division (cross-division work ignored)</t>
        </is>
      </c>
    </row>
    <row r="20">
      <c r="A20" t="inlineStr">
        <is>
          <t>- Shared/generic/service accounts auto-assigned to RS</t>
        </is>
      </c>
    </row>
    <row r="21">
      <c r="A21" t="inlineStr">
        <is>
          <t>- Unmatched users temporarily assigned to RS until confirmed (flagged for review)</t>
        </is>
      </c>
    </row>
    <row r="22">
      <c r="A22" t="inlineStr">
        <is>
          <t>- Allocation is based on users active at time of invoice</t>
        </is>
      </c>
    </row>
    <row r="23">
      <c r="A23" t="inlineStr"/>
    </row>
    <row r="24">
      <c r="A24" s="2" t="inlineStr">
        <is>
          <t>Invoice &amp; Pricing Rules</t>
        </is>
      </c>
    </row>
    <row r="25">
      <c r="A25" t="inlineStr">
        <is>
          <t>- SKU prices on SKU_Cost_Input must match the ACTUAL Microsoft invoice line items (ZAR, excl VAT)</t>
        </is>
      </c>
    </row>
    <row r="26">
      <c r="A26" t="inlineStr">
        <is>
          <t>- VAT is applied to the total via Invoice_Input — do NOT include VAT in individual SKU amounts</t>
        </is>
      </c>
    </row>
    <row r="27">
      <c r="A27" t="inlineStr">
        <is>
          <t>- If invoice is in USD, convert to ZAR using the exchange rate on Invoice_Input before entering</t>
        </is>
      </c>
    </row>
    <row r="28">
      <c r="A28" t="inlineStr">
        <is>
          <t>- The Reconciliation check ensures SKU total exactly matches the invoice — any difference is flagged red</t>
        </is>
      </c>
    </row>
    <row r="29">
      <c r="A29" t="inlineStr"/>
    </row>
    <row r="30">
      <c r="A30" s="2" t="inlineStr">
        <is>
          <t>Proration &amp; Snapshot Policy</t>
        </is>
      </c>
    </row>
    <row r="31">
      <c r="A31" t="inlineStr">
        <is>
          <t>- Allocation uses a snapshot: who is on the user list at the time of invoice processing</t>
        </is>
      </c>
    </row>
    <row r="32">
      <c r="A32" t="inlineStr">
        <is>
          <t>- If Microsoft prorates mid-month additions, they appear as fractional amounts on the invoice</t>
        </is>
      </c>
    </row>
    <row r="33">
      <c r="A33" t="inlineStr">
        <is>
          <t>- Any prorated delta that doesn't split evenly to a SKU → enter the exact invoice amount per SKU</t>
        </is>
      </c>
    </row>
    <row r="34">
      <c r="A34" t="inlineStr">
        <is>
          <t>- The model will self-correct via the reconciliation check (SKU totals must equal invoice total)</t>
        </is>
      </c>
    </row>
    <row r="35">
      <c r="A35" t="inlineStr"/>
    </row>
    <row r="36">
      <c r="A36" s="2" t="inlineStr">
        <is>
          <t>Cost Centres</t>
        </is>
      </c>
    </row>
    <row r="37">
      <c r="A37" t="inlineStr">
        <is>
          <t>RS, AFS, Namibia, Mozambique</t>
        </is>
      </c>
    </row>
    <row r="38">
      <c r="A38" t="inlineStr"/>
    </row>
    <row r="39">
      <c r="A39" s="2" t="inlineStr">
        <is>
          <t>Source of Truth Hierarchy</t>
        </is>
      </c>
    </row>
    <row r="40">
      <c r="A40" t="inlineStr">
        <is>
          <t>Invoice &gt; Admin Export &gt; Employee List</t>
        </is>
      </c>
    </row>
    <row r="41">
      <c r="A41" t="inlineStr"/>
    </row>
    <row r="42">
      <c r="A42" s="2" t="inlineStr">
        <is>
          <t>Sheet Descriptions</t>
        </is>
      </c>
    </row>
    <row r="43">
      <c r="A43" t="inlineStr">
        <is>
          <t>Invoice_Input     → Monthly invoice metadata: total, VAT, exchange rate, billing period</t>
        </is>
      </c>
    </row>
    <row r="44">
      <c r="A44" t="inlineStr">
        <is>
          <t>Employee_Master   → Cleaned employee data with division mappings</t>
        </is>
      </c>
    </row>
    <row r="45">
      <c r="A45" t="inlineStr">
        <is>
          <t>License_Raw       → Monthly Microsoft Admin Centre export (input)</t>
        </is>
      </c>
    </row>
    <row r="46">
      <c r="A46" t="inlineStr">
        <is>
          <t>User_Match        → Email-based mapping of licensed users to divisions</t>
        </is>
      </c>
    </row>
    <row r="47">
      <c r="A47" t="inlineStr">
        <is>
          <t>SKU_Cost_Input    → Manual input of invoice costs per SKU (yellow cells, excl VAT)</t>
        </is>
      </c>
    </row>
    <row r="48">
      <c r="A48" t="inlineStr">
        <is>
          <t>Allocation_Detail → Cost breakdown per user per SKU with formulas</t>
        </is>
      </c>
    </row>
    <row r="49">
      <c r="A49" t="inlineStr">
        <is>
          <t>Allocation_Pivot  → Clean allocation table: Division x SKU x Users x Cost</t>
        </is>
      </c>
    </row>
    <row r="50">
      <c r="A50" t="inlineStr">
        <is>
          <t>Division_Summary  → Final output for Finance with reconciliation check</t>
        </is>
      </c>
    </row>
    <row r="51">
      <c r="A51" t="inlineStr">
        <is>
          <t>Review_Queue      → Unresolved/flagged users requiring attention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55" customWidth="1" min="3" max="3"/>
  </cols>
  <sheetData>
    <row r="1">
      <c r="A1" s="1" t="inlineStr">
        <is>
          <t>Monthly Invoice Input</t>
        </is>
      </c>
    </row>
    <row r="2">
      <c r="A2" s="3" t="inlineStr">
        <is>
          <t>Complete ALL yellow cells before entering SKU amounts. This is the control sheet for reconciliation.</t>
        </is>
      </c>
    </row>
    <row r="4">
      <c r="A4" s="4" t="inlineStr">
        <is>
          <t>Billing Period</t>
        </is>
      </c>
      <c r="B4" s="5" t="inlineStr">
        <is>
          <t>March 2026</t>
        </is>
      </c>
      <c r="C4" s="3" t="inlineStr">
        <is>
          <t>e.g. March 2026</t>
        </is>
      </c>
    </row>
    <row r="5">
      <c r="A5" s="4" t="inlineStr">
        <is>
          <t>Invoice Number</t>
        </is>
      </c>
      <c r="B5" s="5" t="inlineStr">
        <is>
          <t>INV-0303</t>
        </is>
      </c>
      <c r="C5" s="3" t="inlineStr">
        <is>
          <t>From Microsoft invoice</t>
        </is>
      </c>
    </row>
    <row r="6">
      <c r="A6" s="4" t="inlineStr">
        <is>
          <t>Invoice Date</t>
        </is>
      </c>
      <c r="B6" s="5" t="inlineStr">
        <is>
          <t>25/03/2026</t>
        </is>
      </c>
      <c r="C6" s="3" t="inlineStr">
        <is>
          <t>Date on the invoice (DD/MM/YYYY)</t>
        </is>
      </c>
    </row>
    <row r="7">
      <c r="A7" s="4" t="inlineStr">
        <is>
          <t>Snapshot Date</t>
        </is>
      </c>
      <c r="B7" s="5" t="inlineStr"/>
      <c r="C7" s="3" t="inlineStr">
        <is>
          <t>Date the user list was exported from Admin Centre</t>
        </is>
      </c>
    </row>
    <row r="8">
      <c r="A8" s="6" t="inlineStr"/>
      <c r="B8" s="7" t="n"/>
      <c r="C8" s="3" t="inlineStr"/>
    </row>
    <row r="9">
      <c r="A9" s="4" t="inlineStr">
        <is>
          <t>Invoice Total (incl VAT) ZAR</t>
        </is>
      </c>
      <c r="B9" s="8" t="n">
        <v>60184.38</v>
      </c>
      <c r="C9" s="3" t="inlineStr">
        <is>
          <t>Exact Rand total from the invoice including VAT</t>
        </is>
      </c>
    </row>
    <row r="10">
      <c r="A10" s="4" t="inlineStr">
        <is>
          <t>VAT Rate %</t>
        </is>
      </c>
      <c r="B10" s="9" t="n">
        <v>0.15</v>
      </c>
      <c r="C10" s="3" t="inlineStr">
        <is>
          <t>South Africa standard = 15%</t>
        </is>
      </c>
    </row>
    <row r="11">
      <c r="A11" s="4" t="inlineStr">
        <is>
          <t>Invoice Total (excl VAT) ZAR</t>
        </is>
      </c>
      <c r="B11" s="10">
        <f>IF(B10=0,0,B9/(1+B10))</f>
        <v/>
      </c>
      <c r="C11" s="3" t="inlineStr">
        <is>
          <t>Calculated: =incl / (1 + VAT rate)</t>
        </is>
      </c>
    </row>
    <row r="12">
      <c r="A12" s="6" t="inlineStr"/>
      <c r="B12" s="7" t="n"/>
      <c r="C12" s="3" t="inlineStr"/>
    </row>
    <row r="13">
      <c r="A13" s="4" t="inlineStr">
        <is>
          <t>Exchange Rate (USD to ZAR)</t>
        </is>
      </c>
      <c r="B13" s="8" t="n">
        <v>0</v>
      </c>
      <c r="C13" s="3" t="inlineStr">
        <is>
          <t>Enter 0 if invoice is already in ZAR. Otherwise enter the rate used.</t>
        </is>
      </c>
    </row>
    <row r="14">
      <c r="A14" s="4" t="inlineStr">
        <is>
          <t>Invoice Total (USD)</t>
        </is>
      </c>
      <c r="B14" s="8" t="n">
        <v>0</v>
      </c>
      <c r="C14" s="3" t="inlineStr">
        <is>
          <t>Enter 0 if invoice is in ZAR. Otherwise enter USD total from invoice.</t>
        </is>
      </c>
    </row>
    <row r="15">
      <c r="A15" s="4" t="inlineStr">
        <is>
          <t>Converted Total (ZAR)</t>
        </is>
      </c>
      <c r="B15" s="10">
        <f>IF(B13=0,0,B14*B13)</f>
        <v/>
      </c>
      <c r="C15" s="3" t="inlineStr">
        <is>
          <t>Calculated: USD × rate. If invoice is already ZAR, this is ignored.</t>
        </is>
      </c>
    </row>
    <row r="16">
      <c r="A16" s="6" t="inlineStr"/>
      <c r="B16" s="7" t="n"/>
      <c r="C16" s="3" t="inlineStr"/>
    </row>
    <row r="17">
      <c r="A17" s="4" t="inlineStr">
        <is>
          <t>SKU Total (excl VAT) ZAR</t>
        </is>
      </c>
      <c r="B17" s="10">
        <f>SKU_Cost_Input!D17</f>
        <v/>
      </c>
      <c r="C17" s="3" t="inlineStr">
        <is>
          <t>Auto-calculated from SKU_Cost_Input — must match Invoice Total excl VAT</t>
        </is>
      </c>
    </row>
    <row r="18">
      <c r="A18" s="4" t="inlineStr">
        <is>
          <t>Variance (must be R0.00)</t>
        </is>
      </c>
      <c r="B18" s="11">
        <f>B11-B17</f>
        <v/>
      </c>
      <c r="C18" s="3">
        <f> Invoice excl VAT − SKU total. RED if non-zero.</f>
        <v/>
      </c>
    </row>
    <row r="19">
      <c r="A19" s="4" t="inlineStr">
        <is>
          <t>Reconciliation Status</t>
        </is>
      </c>
      <c r="B19" s="12">
        <f>IF(ABS(B18)&lt;0.01,"PASS","FAIL - SKU amounts do not match invoice")</f>
        <v/>
      </c>
      <c r="C19" s="3" t="inlineStr">
        <is>
          <t>PASS or FAIL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16"/>
  <conditionalFormatting sqref="B19">
    <cfRule type="expression" priority="1" dxfId="0">
      <formula>LEFT(B19,4)="PASS"</formula>
    </cfRule>
    <cfRule type="expression" priority="2" dxfId="1">
      <formula>LEFT(B19,4)="FAIL"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K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0" customWidth="1" min="2" max="2"/>
    <col width="16" customWidth="1" min="3" max="3"/>
    <col width="13" customWidth="1" min="4" max="4"/>
    <col width="19" customWidth="1" min="5" max="5"/>
    <col width="40" customWidth="1" min="6" max="6"/>
    <col width="13" customWidth="1" min="7" max="7"/>
    <col width="40" customWidth="1" min="8" max="8"/>
    <col width="31" customWidth="1" min="9" max="9"/>
    <col width="26" customWidth="1" min="10" max="10"/>
    <col width="13" customWidth="1" min="11" max="11"/>
  </cols>
  <sheetData>
    <row r="1">
      <c r="A1" s="13" t="inlineStr">
        <is>
          <t>Company Email</t>
        </is>
      </c>
      <c r="B1" s="13" t="inlineStr">
        <is>
          <t>Employee Name</t>
        </is>
      </c>
      <c r="C1" s="13" t="inlineStr">
        <is>
          <t>Employee Code</t>
        </is>
      </c>
      <c r="D1" s="13" t="inlineStr">
        <is>
          <t>Department</t>
        </is>
      </c>
      <c r="E1" s="13" t="inlineStr">
        <is>
          <t>Department Group</t>
        </is>
      </c>
      <c r="F1" s="13" t="inlineStr">
        <is>
          <t>Site</t>
        </is>
      </c>
      <c r="G1" s="13" t="inlineStr">
        <is>
          <t>Division</t>
        </is>
      </c>
      <c r="H1" s="13" t="inlineStr">
        <is>
          <t>Job Title</t>
        </is>
      </c>
      <c r="I1" s="13" t="inlineStr">
        <is>
          <t>Supervisor</t>
        </is>
      </c>
      <c r="J1" s="13" t="inlineStr">
        <is>
          <t>Cell Number</t>
        </is>
      </c>
      <c r="K1" s="13" t="inlineStr">
        <is>
          <t>Status</t>
        </is>
      </c>
    </row>
    <row r="2">
      <c r="A2" s="14" t="inlineStr">
        <is>
          <t>a.ludick@wearcheckRS.com</t>
        </is>
      </c>
      <c r="B2" s="14" t="inlineStr">
        <is>
          <t>Adri   Ludick</t>
        </is>
      </c>
      <c r="C2" s="14" t="inlineStr">
        <is>
          <t>WC492</t>
        </is>
      </c>
      <c r="D2" s="14" t="inlineStr">
        <is>
          <t>ARC-NDT</t>
        </is>
      </c>
      <c r="E2" s="14" t="inlineStr">
        <is>
          <t>GP Consult</t>
        </is>
      </c>
      <c r="F2" s="14" t="inlineStr"/>
      <c r="G2" s="14" t="inlineStr">
        <is>
          <t>RS</t>
        </is>
      </c>
      <c r="H2" s="14" t="inlineStr">
        <is>
          <t>Manager Mechanical</t>
        </is>
      </c>
      <c r="I2" s="14" t="inlineStr">
        <is>
          <t>Philip Schutte</t>
        </is>
      </c>
      <c r="J2" s="14" t="inlineStr">
        <is>
          <t>0832816896</t>
        </is>
      </c>
      <c r="K2" s="14" t="inlineStr">
        <is>
          <t>Submitted</t>
        </is>
      </c>
    </row>
    <row r="3">
      <c r="A3" s="14" t="inlineStr">
        <is>
          <t>adriaanb@wearcheckrs.com</t>
        </is>
      </c>
      <c r="B3" s="14" t="inlineStr">
        <is>
          <t>Adriaan Pertus Johannes Bouwer</t>
        </is>
      </c>
      <c r="C3" s="14" t="inlineStr">
        <is>
          <t>WC383</t>
        </is>
      </c>
      <c r="D3" s="14" t="inlineStr">
        <is>
          <t>ARC-RCM</t>
        </is>
      </c>
      <c r="E3" s="14" t="inlineStr">
        <is>
          <t>WearCheck</t>
        </is>
      </c>
      <c r="F3" s="14" t="inlineStr">
        <is>
          <t>KwaZulu Natal</t>
        </is>
      </c>
      <c r="G3" s="14" t="inlineStr">
        <is>
          <t>RS</t>
        </is>
      </c>
      <c r="H3" s="14" t="inlineStr">
        <is>
          <t>Thermal Manager</t>
        </is>
      </c>
      <c r="I3" s="14" t="inlineStr">
        <is>
          <t>Louis Peacock</t>
        </is>
      </c>
      <c r="J3" s="14" t="inlineStr">
        <is>
          <t>0608498504</t>
        </is>
      </c>
      <c r="K3" s="14" t="inlineStr">
        <is>
          <t>Submitted</t>
        </is>
      </c>
    </row>
    <row r="4">
      <c r="A4" s="14" t="inlineStr">
        <is>
          <t>marshallr@wearcheckrs.com</t>
        </is>
      </c>
      <c r="B4" s="14" t="inlineStr">
        <is>
          <t>Ailwel Marshall Rasimphi</t>
        </is>
      </c>
      <c r="C4" s="14" t="inlineStr">
        <is>
          <t>WEC094</t>
        </is>
      </c>
      <c r="D4" s="14" t="inlineStr">
        <is>
          <t>ARC-RCM</t>
        </is>
      </c>
      <c r="E4" s="14" t="inlineStr">
        <is>
          <t>GP Consult</t>
        </is>
      </c>
      <c r="F4" s="14" t="inlineStr">
        <is>
          <t>Valterra - Waterval</t>
        </is>
      </c>
      <c r="G4" s="14" t="inlineStr">
        <is>
          <t>RS</t>
        </is>
      </c>
      <c r="H4" s="14" t="inlineStr">
        <is>
          <t>Reliability Technician</t>
        </is>
      </c>
      <c r="I4" s="14" t="inlineStr">
        <is>
          <t>Riaan de Beer</t>
        </is>
      </c>
      <c r="J4" s="14" t="inlineStr">
        <is>
          <t>0768219444</t>
        </is>
      </c>
      <c r="K4" s="14" t="inlineStr">
        <is>
          <t>Submitted</t>
        </is>
      </c>
    </row>
    <row r="5">
      <c r="A5" s="14" t="inlineStr">
        <is>
          <t>alex@wearcheckrs.com</t>
        </is>
      </c>
      <c r="B5" s="14" t="inlineStr">
        <is>
          <t>Alexander Outram</t>
        </is>
      </c>
      <c r="C5" s="14" t="inlineStr">
        <is>
          <t>WEC105</t>
        </is>
      </c>
      <c r="D5" s="14" t="inlineStr">
        <is>
          <t>ARC-RCM</t>
        </is>
      </c>
      <c r="E5" s="14" t="inlineStr">
        <is>
          <t>GP Consult</t>
        </is>
      </c>
      <c r="F5" s="14" t="inlineStr">
        <is>
          <t>RBMR and PMR</t>
        </is>
      </c>
      <c r="G5" s="14" t="inlineStr">
        <is>
          <t>RS</t>
        </is>
      </c>
      <c r="H5" s="14" t="inlineStr">
        <is>
          <t>Reliability Technologist</t>
        </is>
      </c>
      <c r="I5" s="14" t="inlineStr">
        <is>
          <t>Micheal Pretorius</t>
        </is>
      </c>
      <c r="J5" s="14" t="inlineStr">
        <is>
          <t>0662213616 / 0720164289</t>
        </is>
      </c>
      <c r="K5" s="14" t="inlineStr">
        <is>
          <t>Submitted</t>
        </is>
      </c>
    </row>
    <row r="6">
      <c r="A6" s="14" t="inlineStr">
        <is>
          <t>allan@wearcheckrs.com</t>
        </is>
      </c>
      <c r="B6" s="14" t="inlineStr">
        <is>
          <t>Allan Stuurman</t>
        </is>
      </c>
      <c r="C6" s="14" t="inlineStr">
        <is>
          <t>WEC123</t>
        </is>
      </c>
      <c r="D6" s="14" t="inlineStr">
        <is>
          <t>ARC-RCM</t>
        </is>
      </c>
      <c r="E6" s="14" t="inlineStr">
        <is>
          <t>GP Consult</t>
        </is>
      </c>
      <c r="F6" s="14" t="inlineStr">
        <is>
          <t>Samancor - ECM Tweefontein</t>
        </is>
      </c>
      <c r="G6" s="14" t="inlineStr">
        <is>
          <t>RS</t>
        </is>
      </c>
      <c r="H6" s="14" t="inlineStr">
        <is>
          <t>Reliability Technologist - Site Suprevisor</t>
        </is>
      </c>
      <c r="I6" s="14" t="inlineStr">
        <is>
          <t>Peet Peacock</t>
        </is>
      </c>
      <c r="J6" s="14" t="inlineStr">
        <is>
          <t>0799121301</t>
        </is>
      </c>
      <c r="K6" s="14" t="inlineStr">
        <is>
          <t>Submitted</t>
        </is>
      </c>
    </row>
    <row r="7">
      <c r="A7" s="14" t="inlineStr">
        <is>
          <t>andree@wearcheck.co.za</t>
        </is>
      </c>
      <c r="B7" s="14" t="inlineStr">
        <is>
          <t>André Erasmus</t>
        </is>
      </c>
      <c r="C7" s="14" t="inlineStr">
        <is>
          <t>WC511</t>
        </is>
      </c>
      <c r="D7" s="14" t="inlineStr">
        <is>
          <t>ARC-TCA</t>
        </is>
      </c>
      <c r="E7" s="14" t="inlineStr">
        <is>
          <t>AFS</t>
        </is>
      </c>
      <c r="F7" s="14" t="inlineStr"/>
      <c r="G7" s="14" t="inlineStr">
        <is>
          <t>AFS</t>
        </is>
      </c>
      <c r="H7" s="14" t="inlineStr">
        <is>
          <t>Machinery Inspector / Auditor</t>
        </is>
      </c>
      <c r="I7" s="14" t="inlineStr">
        <is>
          <t>Johan Stols</t>
        </is>
      </c>
      <c r="J7" s="14" t="inlineStr">
        <is>
          <t>0833088571</t>
        </is>
      </c>
      <c r="K7" s="14" t="inlineStr">
        <is>
          <t>Submitted</t>
        </is>
      </c>
    </row>
    <row r="8">
      <c r="A8" s="14" t="inlineStr">
        <is>
          <t>andrew@wearcheckRS.com</t>
        </is>
      </c>
      <c r="B8" s="14" t="inlineStr">
        <is>
          <t>Andrew John  Walker Robb</t>
        </is>
      </c>
      <c r="C8" s="14" t="inlineStr">
        <is>
          <t>WEC103</t>
        </is>
      </c>
      <c r="D8" s="14" t="inlineStr">
        <is>
          <t>ARC-RCM</t>
        </is>
      </c>
      <c r="E8" s="14" t="inlineStr">
        <is>
          <t>GP Consult</t>
        </is>
      </c>
      <c r="F8" s="14" t="inlineStr">
        <is>
          <t>Remote Centre</t>
        </is>
      </c>
      <c r="G8" s="14" t="inlineStr">
        <is>
          <t>RS</t>
        </is>
      </c>
      <c r="H8" s="14" t="inlineStr">
        <is>
          <t>ARC Centre Manager</t>
        </is>
      </c>
      <c r="I8" s="14" t="inlineStr">
        <is>
          <t>Louis Peacock</t>
        </is>
      </c>
      <c r="J8" s="14" t="inlineStr">
        <is>
          <t>0636504444</t>
        </is>
      </c>
      <c r="K8" s="14" t="inlineStr">
        <is>
          <t>Submitted</t>
        </is>
      </c>
    </row>
    <row r="9">
      <c r="A9" s="14" t="inlineStr">
        <is>
          <t>annahm@wearcheckrs.com</t>
        </is>
      </c>
      <c r="B9" s="14" t="inlineStr">
        <is>
          <t>Annah Seipone Modutwane</t>
        </is>
      </c>
      <c r="C9" s="14" t="inlineStr">
        <is>
          <t>WC484</t>
        </is>
      </c>
      <c r="D9" s="14" t="inlineStr">
        <is>
          <t>ARC-RCM</t>
        </is>
      </c>
      <c r="E9" s="14" t="inlineStr">
        <is>
          <t>WearCheck</t>
        </is>
      </c>
      <c r="F9" s="14" t="inlineStr">
        <is>
          <t>Valterra - Mototolo</t>
        </is>
      </c>
      <c r="G9" s="14" t="inlineStr">
        <is>
          <t>RS</t>
        </is>
      </c>
      <c r="H9" s="14" t="inlineStr">
        <is>
          <t>Trainee Inspector B5</t>
        </is>
      </c>
      <c r="I9" s="14" t="inlineStr">
        <is>
          <t>Londolani Managa</t>
        </is>
      </c>
      <c r="J9" s="14" t="inlineStr">
        <is>
          <t>0833579812</t>
        </is>
      </c>
      <c r="K9" s="14" t="inlineStr">
        <is>
          <t>Submitted</t>
        </is>
      </c>
    </row>
    <row r="10">
      <c r="A10" s="14" t="inlineStr">
        <is>
          <t>annemie@wearcheckrs.com</t>
        </is>
      </c>
      <c r="B10" s="14" t="inlineStr">
        <is>
          <t>Annemie Willer</t>
        </is>
      </c>
      <c r="C10" s="14" t="inlineStr">
        <is>
          <t>WC319</t>
        </is>
      </c>
      <c r="D10" s="14" t="inlineStr">
        <is>
          <t>ARC-RCM</t>
        </is>
      </c>
      <c r="E10" s="14" t="inlineStr">
        <is>
          <t>WearCheck</t>
        </is>
      </c>
      <c r="F10" s="14" t="inlineStr">
        <is>
          <t>Longmeadow H/O</t>
        </is>
      </c>
      <c r="G10" s="14" t="inlineStr">
        <is>
          <t>RS</t>
        </is>
      </c>
      <c r="H10" s="14" t="inlineStr">
        <is>
          <t>Divisional Manager</t>
        </is>
      </c>
      <c r="I10" s="14" t="inlineStr">
        <is>
          <t>Philip Schutte</t>
        </is>
      </c>
      <c r="J10" s="14" t="inlineStr">
        <is>
          <t>0716096197</t>
        </is>
      </c>
      <c r="K10" s="14" t="inlineStr">
        <is>
          <t>Incomplete</t>
        </is>
      </c>
    </row>
    <row r="11">
      <c r="A11" s="14" t="inlineStr">
        <is>
          <t>antonio.ehrke@wearcheckrs.com</t>
        </is>
      </c>
      <c r="B11" s="14" t="inlineStr">
        <is>
          <t>Antonio Ehrke</t>
        </is>
      </c>
      <c r="C11" s="14" t="inlineStr">
        <is>
          <t>WC503</t>
        </is>
      </c>
      <c r="D11" s="14" t="inlineStr">
        <is>
          <t>ARC-RCA</t>
        </is>
      </c>
      <c r="E11" s="14" t="inlineStr">
        <is>
          <t>AFS</t>
        </is>
      </c>
      <c r="F11" s="14" t="inlineStr"/>
      <c r="G11" s="14" t="inlineStr">
        <is>
          <t>AFS</t>
        </is>
      </c>
      <c r="H11" s="14" t="inlineStr">
        <is>
          <t>RCA Inspector</t>
        </is>
      </c>
      <c r="I11" s="14" t="inlineStr">
        <is>
          <t>Roger Henwood</t>
        </is>
      </c>
      <c r="J11" s="14" t="inlineStr">
        <is>
          <t>0834695668</t>
        </is>
      </c>
      <c r="K11" s="14" t="inlineStr">
        <is>
          <t>Submitted</t>
        </is>
      </c>
    </row>
    <row r="12">
      <c r="A12" s="14" t="inlineStr">
        <is>
          <t>armindo@wearcheckrs.com</t>
        </is>
      </c>
      <c r="B12" s="14" t="inlineStr">
        <is>
          <t>Armindo Muchacho</t>
        </is>
      </c>
      <c r="C12" s="14" t="inlineStr">
        <is>
          <t>Unknown</t>
        </is>
      </c>
      <c r="D12" s="14" t="inlineStr">
        <is>
          <t>ARC-RCM</t>
        </is>
      </c>
      <c r="E12" s="14" t="inlineStr">
        <is>
          <t>WearCheck</t>
        </is>
      </c>
      <c r="F12" s="14" t="inlineStr">
        <is>
          <t>Mozambique</t>
        </is>
      </c>
      <c r="G12" s="14" t="inlineStr">
        <is>
          <t>Mozambique</t>
        </is>
      </c>
      <c r="H12" s="14" t="inlineStr">
        <is>
          <t>Site Supervisor</t>
        </is>
      </c>
      <c r="I12" s="14" t="inlineStr">
        <is>
          <t>Riaan du Plooy</t>
        </is>
      </c>
      <c r="J12" s="14" t="inlineStr">
        <is>
          <t>258848349643</t>
        </is>
      </c>
      <c r="K12" s="14" t="inlineStr">
        <is>
          <t>Submitted</t>
        </is>
      </c>
    </row>
    <row r="13">
      <c r="A13" s="14" t="inlineStr">
        <is>
          <t>Arnold@WearCheckRS.com</t>
        </is>
      </c>
      <c r="B13" s="14" t="inlineStr">
        <is>
          <t>Arnoldus Johannes van Zyl</t>
        </is>
      </c>
      <c r="C13" s="14" t="inlineStr">
        <is>
          <t>WC526</t>
        </is>
      </c>
      <c r="D13" s="14" t="inlineStr">
        <is>
          <t>ARC-TCA</t>
        </is>
      </c>
      <c r="E13" s="14" t="inlineStr">
        <is>
          <t>AFS</t>
        </is>
      </c>
      <c r="F13" s="14" t="inlineStr"/>
      <c r="G13" s="14" t="inlineStr">
        <is>
          <t>AFS</t>
        </is>
      </c>
      <c r="H13" s="14" t="inlineStr">
        <is>
          <t>Electrical Inspector</t>
        </is>
      </c>
      <c r="I13" s="14" t="inlineStr">
        <is>
          <t>Johan Stols</t>
        </is>
      </c>
      <c r="J13" s="14" t="inlineStr">
        <is>
          <t>067412 1369</t>
        </is>
      </c>
      <c r="K13" s="14" t="inlineStr">
        <is>
          <t>Submitted</t>
        </is>
      </c>
    </row>
    <row r="14">
      <c r="A14" s="14" t="inlineStr">
        <is>
          <t>aubrey@wearcheckRS.com</t>
        </is>
      </c>
      <c r="B14" s="14" t="inlineStr">
        <is>
          <t>Aubrey Tshabalala</t>
        </is>
      </c>
      <c r="C14" s="14" t="inlineStr">
        <is>
          <t>WEC114</t>
        </is>
      </c>
      <c r="D14" s="14" t="inlineStr">
        <is>
          <t>ARC-RCM</t>
        </is>
      </c>
      <c r="E14" s="14" t="inlineStr">
        <is>
          <t>GP Consult</t>
        </is>
      </c>
      <c r="F14" s="14" t="inlineStr">
        <is>
          <t>Valterra - Mototolo</t>
        </is>
      </c>
      <c r="G14" s="14" t="inlineStr">
        <is>
          <t>RS</t>
        </is>
      </c>
      <c r="H14" s="14" t="inlineStr">
        <is>
          <t>Reliability Technologist</t>
        </is>
      </c>
      <c r="I14" s="14" t="inlineStr">
        <is>
          <t>Annah Modutwane</t>
        </is>
      </c>
      <c r="J14" s="14" t="inlineStr">
        <is>
          <t>0824871527</t>
        </is>
      </c>
      <c r="K14" s="14" t="inlineStr">
        <is>
          <t>Submitted</t>
        </is>
      </c>
    </row>
    <row r="15">
      <c r="A15" s="14" t="inlineStr">
        <is>
          <t>N/A</t>
        </is>
      </c>
      <c r="B15" s="14" t="inlineStr">
        <is>
          <t>Benedito Timana</t>
        </is>
      </c>
      <c r="C15" s="14" t="inlineStr">
        <is>
          <t>Unknown</t>
        </is>
      </c>
      <c r="D15" s="14" t="inlineStr">
        <is>
          <t>ARC-RCM</t>
        </is>
      </c>
      <c r="E15" s="14" t="inlineStr">
        <is>
          <t>WearCheck</t>
        </is>
      </c>
      <c r="F15" s="14" t="inlineStr">
        <is>
          <t>Mozambique</t>
        </is>
      </c>
      <c r="G15" s="14" t="inlineStr">
        <is>
          <t>Mozambique</t>
        </is>
      </c>
      <c r="H15" s="14" t="inlineStr">
        <is>
          <t>Oil Sampler / Data collector</t>
        </is>
      </c>
      <c r="I15" s="14" t="inlineStr">
        <is>
          <t>Riaan du Plooy</t>
        </is>
      </c>
      <c r="J15" s="14" t="inlineStr">
        <is>
          <t>258 879321970</t>
        </is>
      </c>
      <c r="K15" s="14" t="inlineStr">
        <is>
          <t>Submitted</t>
        </is>
      </c>
    </row>
    <row r="16">
      <c r="A16" s="14" t="inlineStr">
        <is>
          <t>Bianka@WearCheckRS.com</t>
        </is>
      </c>
      <c r="B16" s="14" t="inlineStr">
        <is>
          <t>Bianka de Beer</t>
        </is>
      </c>
      <c r="C16" s="14" t="inlineStr">
        <is>
          <t>WEC142</t>
        </is>
      </c>
      <c r="D16" s="14" t="inlineStr">
        <is>
          <t>ARC-RCM</t>
        </is>
      </c>
      <c r="E16" s="14" t="inlineStr">
        <is>
          <t>GP Consult</t>
        </is>
      </c>
      <c r="F16" s="14" t="inlineStr">
        <is>
          <t>Longmeadow H/O</t>
        </is>
      </c>
      <c r="G16" s="14" t="inlineStr">
        <is>
          <t>RS</t>
        </is>
      </c>
      <c r="H16" s="14" t="inlineStr">
        <is>
          <t>Administrator</t>
        </is>
      </c>
      <c r="I16" s="14" t="inlineStr">
        <is>
          <t>Megan Salzwedel</t>
        </is>
      </c>
      <c r="J16" s="14" t="inlineStr">
        <is>
          <t>0740317981</t>
        </is>
      </c>
      <c r="K16" s="14" t="inlineStr">
        <is>
          <t>Submitted</t>
        </is>
      </c>
    </row>
    <row r="17">
      <c r="A17" s="14" t="inlineStr">
        <is>
          <t>chicco@wearcheckrs.com</t>
        </is>
      </c>
      <c r="B17" s="14" t="inlineStr">
        <is>
          <t>Chicco Fransisco Tivane</t>
        </is>
      </c>
      <c r="C17" s="14" t="inlineStr">
        <is>
          <t>WC380</t>
        </is>
      </c>
      <c r="D17" s="14" t="inlineStr">
        <is>
          <t>ARC-RCM</t>
        </is>
      </c>
      <c r="E17" s="14" t="inlineStr">
        <is>
          <t>WearCheck</t>
        </is>
      </c>
      <c r="F17" s="14" t="inlineStr">
        <is>
          <t>Steelpoort</t>
        </is>
      </c>
      <c r="G17" s="14" t="inlineStr">
        <is>
          <t>RS</t>
        </is>
      </c>
      <c r="H17" s="14" t="inlineStr">
        <is>
          <t>Reliability Technologist</t>
        </is>
      </c>
      <c r="I17" s="14" t="inlineStr">
        <is>
          <t>Londolani Managa</t>
        </is>
      </c>
      <c r="J17" s="14" t="inlineStr">
        <is>
          <t>0818190051</t>
        </is>
      </c>
      <c r="K17" s="14" t="inlineStr">
        <is>
          <t>Submitted</t>
        </is>
      </c>
    </row>
    <row r="18">
      <c r="A18" s="14" t="inlineStr">
        <is>
          <t>chrism@wearcheckrs.com</t>
        </is>
      </c>
      <c r="B18" s="14" t="inlineStr">
        <is>
          <t>Chris Mostert</t>
        </is>
      </c>
      <c r="C18" s="14" t="inlineStr">
        <is>
          <t>WEC100</t>
        </is>
      </c>
      <c r="D18" s="14" t="inlineStr">
        <is>
          <t>ARC-RCM</t>
        </is>
      </c>
      <c r="E18" s="14" t="inlineStr">
        <is>
          <t>GP Consult</t>
        </is>
      </c>
      <c r="F18" s="14" t="inlineStr">
        <is>
          <t>Springs</t>
        </is>
      </c>
      <c r="G18" s="14" t="inlineStr">
        <is>
          <t>RS</t>
        </is>
      </c>
      <c r="H18" s="14" t="inlineStr">
        <is>
          <t>Reliability Analyst</t>
        </is>
      </c>
      <c r="I18" s="14" t="inlineStr">
        <is>
          <t>Eddie Pieterse Snr</t>
        </is>
      </c>
      <c r="J18" s="14" t="inlineStr">
        <is>
          <t>0636922876</t>
        </is>
      </c>
      <c r="K18" s="14" t="inlineStr">
        <is>
          <t>Submitted</t>
        </is>
      </c>
    </row>
    <row r="19">
      <c r="A19" s="14" t="inlineStr">
        <is>
          <t>chrstene@wearcheckrs.com</t>
        </is>
      </c>
      <c r="B19" s="14" t="inlineStr">
        <is>
          <t>Christene Smal</t>
        </is>
      </c>
      <c r="C19" s="14" t="inlineStr">
        <is>
          <t>WC285</t>
        </is>
      </c>
      <c r="D19" s="14" t="inlineStr">
        <is>
          <t>ARC-RCM</t>
        </is>
      </c>
      <c r="E19" s="14" t="inlineStr">
        <is>
          <t>WearCheck</t>
        </is>
      </c>
      <c r="F19" s="14" t="inlineStr">
        <is>
          <t>Longmeadow H/O</t>
        </is>
      </c>
      <c r="G19" s="14" t="inlineStr">
        <is>
          <t>RS</t>
        </is>
      </c>
      <c r="H19" s="14" t="inlineStr">
        <is>
          <t>RS Administrator</t>
        </is>
      </c>
      <c r="I19" s="14" t="inlineStr">
        <is>
          <t>Megan Salzwedel</t>
        </is>
      </c>
      <c r="J19" s="14" t="inlineStr">
        <is>
          <t>0720591125</t>
        </is>
      </c>
      <c r="K19" s="14" t="inlineStr">
        <is>
          <t>Submitted</t>
        </is>
      </c>
    </row>
    <row r="20">
      <c r="A20" s="14" t="inlineStr">
        <is>
          <t>cj@wearcheckrs.com</t>
        </is>
      </c>
      <c r="B20" s="14" t="inlineStr">
        <is>
          <t>CJ Woller</t>
        </is>
      </c>
      <c r="C20" s="14" t="inlineStr">
        <is>
          <t>WEC120</t>
        </is>
      </c>
      <c r="D20" s="14" t="inlineStr">
        <is>
          <t>ARC-RCM</t>
        </is>
      </c>
      <c r="E20" s="14" t="inlineStr">
        <is>
          <t>GP Consult</t>
        </is>
      </c>
      <c r="F20" s="14" t="inlineStr">
        <is>
          <t>RBMR and PMR</t>
        </is>
      </c>
      <c r="G20" s="14" t="inlineStr">
        <is>
          <t>RS</t>
        </is>
      </c>
      <c r="H20" s="14" t="inlineStr">
        <is>
          <t>Reliability Technician</t>
        </is>
      </c>
      <c r="I20" s="14" t="inlineStr">
        <is>
          <t>Michael Preotrius</t>
        </is>
      </c>
      <c r="J20" s="14" t="inlineStr">
        <is>
          <t>0835965562</t>
        </is>
      </c>
      <c r="K20" s="14" t="inlineStr">
        <is>
          <t>Submitted</t>
        </is>
      </c>
    </row>
    <row r="21">
      <c r="A21" s="14" t="inlineStr">
        <is>
          <t>colleen.pyper@WearCheckRS.com</t>
        </is>
      </c>
      <c r="B21" s="14" t="inlineStr">
        <is>
          <t>Colleen Pyper</t>
        </is>
      </c>
      <c r="C21" s="14" t="inlineStr">
        <is>
          <t>WC486</t>
        </is>
      </c>
      <c r="D21" s="14" t="inlineStr">
        <is>
          <t>AFS</t>
        </is>
      </c>
      <c r="E21" s="14" t="inlineStr">
        <is>
          <t>AFS</t>
        </is>
      </c>
      <c r="F21" s="14" t="inlineStr"/>
      <c r="G21" s="14" t="inlineStr">
        <is>
          <t>AFS</t>
        </is>
      </c>
      <c r="H21" s="14" t="inlineStr">
        <is>
          <t>Admin and Finance Assistant</t>
        </is>
      </c>
      <c r="I21" s="14" t="inlineStr">
        <is>
          <t>Adri Ludick</t>
        </is>
      </c>
      <c r="J21" s="14" t="inlineStr">
        <is>
          <t>0662916811</t>
        </is>
      </c>
      <c r="K21" s="14" t="inlineStr">
        <is>
          <t>Submitted</t>
        </is>
      </c>
    </row>
    <row r="22">
      <c r="A22" s="14" t="inlineStr">
        <is>
          <t>greeffm@wearcheck.co.za</t>
        </is>
      </c>
      <c r="B22" s="14" t="inlineStr">
        <is>
          <t>Daniel Greef Meintjies</t>
        </is>
      </c>
      <c r="C22" s="14" t="inlineStr">
        <is>
          <t>WC528</t>
        </is>
      </c>
      <c r="D22" s="14" t="inlineStr">
        <is>
          <t>ARC-NDT</t>
        </is>
      </c>
      <c r="E22" s="14" t="inlineStr">
        <is>
          <t>AFS</t>
        </is>
      </c>
      <c r="F22" s="14" t="inlineStr"/>
      <c r="G22" s="14" t="inlineStr">
        <is>
          <t>AFS</t>
        </is>
      </c>
      <c r="H22" s="14" t="inlineStr">
        <is>
          <t>Inspector (Lifting and NDT)</t>
        </is>
      </c>
      <c r="I22" s="14" t="inlineStr">
        <is>
          <t>Adri Ludick</t>
        </is>
      </c>
      <c r="J22" s="14" t="inlineStr">
        <is>
          <t>0674121318</t>
        </is>
      </c>
      <c r="K22" s="14" t="inlineStr">
        <is>
          <t>Submitted</t>
        </is>
      </c>
    </row>
    <row r="23">
      <c r="A23" s="14" t="inlineStr">
        <is>
          <t>daniel@wearcheckrs.com</t>
        </is>
      </c>
      <c r="B23" s="14" t="inlineStr">
        <is>
          <t>Tshegofatsho Daniel Molapo</t>
        </is>
      </c>
      <c r="C23" s="14" t="inlineStr">
        <is>
          <t>WC402</t>
        </is>
      </c>
      <c r="D23" s="14" t="inlineStr">
        <is>
          <t>ARC-RCM</t>
        </is>
      </c>
      <c r="E23" s="14" t="inlineStr">
        <is>
          <t>GP Consult</t>
        </is>
      </c>
      <c r="F23" s="14" t="inlineStr">
        <is>
          <t>Valterra - Mototolo</t>
        </is>
      </c>
      <c r="G23" s="14" t="inlineStr">
        <is>
          <t>RS</t>
        </is>
      </c>
      <c r="H23" s="14" t="inlineStr">
        <is>
          <t>Reliability Technologist</t>
        </is>
      </c>
      <c r="I23" s="14" t="inlineStr">
        <is>
          <t>Annah Modutwane</t>
        </is>
      </c>
      <c r="J23" s="14" t="inlineStr">
        <is>
          <t>0828023079</t>
        </is>
      </c>
      <c r="K23" s="14" t="inlineStr">
        <is>
          <t>Submitted</t>
        </is>
      </c>
    </row>
    <row r="24">
      <c r="A24" s="14" t="inlineStr">
        <is>
          <t>David@wearcheckrs.com</t>
        </is>
      </c>
      <c r="B24" s="14" t="inlineStr">
        <is>
          <t>David Viljoen</t>
        </is>
      </c>
      <c r="C24" s="14" t="inlineStr">
        <is>
          <t>WEC081</t>
        </is>
      </c>
      <c r="D24" s="14" t="inlineStr">
        <is>
          <t>ARC-RCM</t>
        </is>
      </c>
      <c r="E24" s="14" t="inlineStr">
        <is>
          <t>GP Consult</t>
        </is>
      </c>
      <c r="F24" s="14" t="inlineStr">
        <is>
          <t>Roamer</t>
        </is>
      </c>
      <c r="G24" s="14" t="inlineStr">
        <is>
          <t>RS</t>
        </is>
      </c>
      <c r="H24" s="14" t="inlineStr">
        <is>
          <t>Precision Maintenance Technologist</t>
        </is>
      </c>
      <c r="I24" s="14" t="inlineStr">
        <is>
          <t>Peet Peacock</t>
        </is>
      </c>
      <c r="J24" s="14" t="inlineStr">
        <is>
          <t>0810106409</t>
        </is>
      </c>
      <c r="K24" s="14" t="inlineStr">
        <is>
          <t>Submitted</t>
        </is>
      </c>
    </row>
    <row r="25">
      <c r="A25" s="14" t="inlineStr">
        <is>
          <t>davidl@wearcheckrs.com</t>
        </is>
      </c>
      <c r="B25" s="14" t="inlineStr">
        <is>
          <t>David Lipague</t>
        </is>
      </c>
      <c r="C25" s="14" t="inlineStr">
        <is>
          <t>Unknown</t>
        </is>
      </c>
      <c r="D25" s="14" t="inlineStr">
        <is>
          <t>ARC-RCM</t>
        </is>
      </c>
      <c r="E25" s="14" t="inlineStr">
        <is>
          <t>WearCheck</t>
        </is>
      </c>
      <c r="F25" s="14" t="inlineStr">
        <is>
          <t>Mozambique</t>
        </is>
      </c>
      <c r="G25" s="14" t="inlineStr">
        <is>
          <t>Mozambique</t>
        </is>
      </c>
      <c r="H25" s="14" t="inlineStr">
        <is>
          <t>Reliability Technician</t>
        </is>
      </c>
      <c r="I25" s="14" t="inlineStr">
        <is>
          <t>Riaan du Plooy</t>
        </is>
      </c>
      <c r="J25" s="14" t="inlineStr">
        <is>
          <t>258847817888</t>
        </is>
      </c>
      <c r="K25" s="14" t="inlineStr">
        <is>
          <t>Submitted</t>
        </is>
      </c>
    </row>
    <row r="26">
      <c r="A26" s="14" t="inlineStr">
        <is>
          <t>deon@wearcheckrs.com</t>
        </is>
      </c>
      <c r="B26" s="14" t="inlineStr">
        <is>
          <t>Deon  Gaarkeuken</t>
        </is>
      </c>
      <c r="C26" s="14" t="inlineStr">
        <is>
          <t>WC358</t>
        </is>
      </c>
      <c r="D26" s="14" t="inlineStr">
        <is>
          <t>ARC-RCM</t>
        </is>
      </c>
      <c r="E26" s="14" t="inlineStr">
        <is>
          <t>WearCheck</t>
        </is>
      </c>
      <c r="F26" s="14" t="inlineStr">
        <is>
          <t>Roamer</t>
        </is>
      </c>
      <c r="G26" s="14" t="inlineStr">
        <is>
          <t>RS</t>
        </is>
      </c>
      <c r="H26" s="14" t="inlineStr">
        <is>
          <t>ARC Reliability Specialist</t>
        </is>
      </c>
      <c r="I26" s="14" t="inlineStr">
        <is>
          <t>Andrew Robb</t>
        </is>
      </c>
      <c r="J26" s="14" t="inlineStr">
        <is>
          <t>0712524040</t>
        </is>
      </c>
      <c r="K26" s="14" t="inlineStr">
        <is>
          <t>Submitted</t>
        </is>
      </c>
    </row>
    <row r="27">
      <c r="A27" s="14" t="inlineStr">
        <is>
          <t>desmond@wearcheckrs.com</t>
        </is>
      </c>
      <c r="B27" s="14" t="inlineStr">
        <is>
          <t>Desmond  Ngomane</t>
        </is>
      </c>
      <c r="C27" s="14" t="inlineStr">
        <is>
          <t>WEC086</t>
        </is>
      </c>
      <c r="D27" s="14" t="inlineStr">
        <is>
          <t>ARC-RCM</t>
        </is>
      </c>
      <c r="E27" s="14" t="inlineStr">
        <is>
          <t>GP Consult</t>
        </is>
      </c>
      <c r="F27" s="14" t="inlineStr">
        <is>
          <t>Valterra - Mototolo</t>
        </is>
      </c>
      <c r="G27" s="14" t="inlineStr">
        <is>
          <t>RS</t>
        </is>
      </c>
      <c r="H27" s="14" t="inlineStr">
        <is>
          <t>Reliability Technologist</t>
        </is>
      </c>
      <c r="I27" s="14" t="inlineStr">
        <is>
          <t>Annah Modutwane</t>
        </is>
      </c>
      <c r="J27" s="14" t="inlineStr">
        <is>
          <t>0796083125</t>
        </is>
      </c>
      <c r="K27" s="14" t="inlineStr">
        <is>
          <t>Submitted</t>
        </is>
      </c>
    </row>
    <row r="28">
      <c r="A28" s="14" t="inlineStr">
        <is>
          <t>dian@wearcheckrs.com</t>
        </is>
      </c>
      <c r="B28" s="14" t="inlineStr">
        <is>
          <t>Dian Leff</t>
        </is>
      </c>
      <c r="C28" s="14" t="inlineStr">
        <is>
          <t>WCN008</t>
        </is>
      </c>
      <c r="D28" s="14" t="inlineStr">
        <is>
          <t>ARC-RCM</t>
        </is>
      </c>
      <c r="E28" s="14" t="inlineStr">
        <is>
          <t>WearCheck</t>
        </is>
      </c>
      <c r="F28" s="14" t="inlineStr">
        <is>
          <t>Namibia</t>
        </is>
      </c>
      <c r="G28" s="14" t="inlineStr">
        <is>
          <t>Namibia</t>
        </is>
      </c>
      <c r="H28" s="14" t="inlineStr">
        <is>
          <t>Reliability Technician</t>
        </is>
      </c>
      <c r="I28" s="14" t="inlineStr">
        <is>
          <t>Rohan Willer</t>
        </is>
      </c>
      <c r="J28" s="14" t="inlineStr">
        <is>
          <t>0817614612</t>
        </is>
      </c>
      <c r="K28" s="14" t="inlineStr">
        <is>
          <t>Submitted</t>
        </is>
      </c>
    </row>
    <row r="29">
      <c r="A29" s="14" t="inlineStr">
        <is>
          <t>Douglas@WearcheckRS.com</t>
        </is>
      </c>
      <c r="B29" s="14" t="inlineStr">
        <is>
          <t>Douglas Prout-Jones</t>
        </is>
      </c>
      <c r="C29" s="14" t="inlineStr">
        <is>
          <t>WEC119</t>
        </is>
      </c>
      <c r="D29" s="14" t="inlineStr">
        <is>
          <t>ARC-RCM</t>
        </is>
      </c>
      <c r="E29" s="14" t="inlineStr">
        <is>
          <t>GP Consult</t>
        </is>
      </c>
      <c r="F29" s="14" t="inlineStr">
        <is>
          <t>Valterra - Waterval</t>
        </is>
      </c>
      <c r="G29" s="14" t="inlineStr">
        <is>
          <t>RS</t>
        </is>
      </c>
      <c r="H29" s="14" t="inlineStr">
        <is>
          <t>Reliability Technician</t>
        </is>
      </c>
      <c r="I29" s="14" t="inlineStr">
        <is>
          <t>Riaan de Beer</t>
        </is>
      </c>
      <c r="J29" s="14" t="inlineStr">
        <is>
          <t>0832855788 / 0823125521</t>
        </is>
      </c>
      <c r="K29" s="14" t="inlineStr">
        <is>
          <t>Submitted</t>
        </is>
      </c>
    </row>
    <row r="30">
      <c r="A30" s="14" t="inlineStr">
        <is>
          <t>eben@wearcheckrs.com</t>
        </is>
      </c>
      <c r="B30" s="14" t="inlineStr">
        <is>
          <t>Eben Prinsloo</t>
        </is>
      </c>
      <c r="C30" s="14" t="inlineStr">
        <is>
          <t>WEC122</t>
        </is>
      </c>
      <c r="D30" s="14" t="inlineStr">
        <is>
          <t>ARC-RCM</t>
        </is>
      </c>
      <c r="E30" s="14" t="inlineStr">
        <is>
          <t>GP Consult</t>
        </is>
      </c>
      <c r="F30" s="14" t="inlineStr">
        <is>
          <t>Roamer</t>
        </is>
      </c>
      <c r="G30" s="14" t="inlineStr">
        <is>
          <t>RS</t>
        </is>
      </c>
      <c r="H30" s="14" t="inlineStr">
        <is>
          <t>Reliability Technologist</t>
        </is>
      </c>
      <c r="I30" s="14" t="inlineStr">
        <is>
          <t>Edward Pieterse Jnr</t>
        </is>
      </c>
      <c r="J30" s="14" t="inlineStr">
        <is>
          <t>0824146986</t>
        </is>
      </c>
      <c r="K30" s="14" t="inlineStr">
        <is>
          <t>Submitted</t>
        </is>
      </c>
    </row>
    <row r="31">
      <c r="A31" s="14" t="inlineStr">
        <is>
          <t>edwardfp@wearcheckrs.com</t>
        </is>
      </c>
      <c r="B31" s="14" t="inlineStr">
        <is>
          <t>Edward Frederick IV Pieterse</t>
        </is>
      </c>
      <c r="C31" s="14" t="inlineStr">
        <is>
          <t>WC274</t>
        </is>
      </c>
      <c r="D31" s="14" t="inlineStr">
        <is>
          <t>ARC-RCM</t>
        </is>
      </c>
      <c r="E31" s="14" t="inlineStr">
        <is>
          <t>WearCheck</t>
        </is>
      </c>
      <c r="F31" s="14" t="inlineStr">
        <is>
          <t>Longmeadow H/O</t>
        </is>
      </c>
      <c r="G31" s="14" t="inlineStr">
        <is>
          <t>RS</t>
        </is>
      </c>
      <c r="H31" s="14" t="inlineStr">
        <is>
          <t>Operations Manager</t>
        </is>
      </c>
      <c r="I31" s="14" t="inlineStr">
        <is>
          <t>Annemie Willer</t>
        </is>
      </c>
      <c r="J31" s="14" t="inlineStr">
        <is>
          <t>0837930923</t>
        </is>
      </c>
      <c r="K31" s="14" t="inlineStr">
        <is>
          <t>Submitted</t>
        </is>
      </c>
    </row>
    <row r="32">
      <c r="A32" s="14" t="inlineStr">
        <is>
          <t>edwin@wearcheckrs.com</t>
        </is>
      </c>
      <c r="B32" s="14" t="inlineStr">
        <is>
          <t>Edwin Ashley Gibbons</t>
        </is>
      </c>
      <c r="C32" s="14" t="inlineStr">
        <is>
          <t>WEC138</t>
        </is>
      </c>
      <c r="D32" s="14" t="inlineStr">
        <is>
          <t>ARC-TCA</t>
        </is>
      </c>
      <c r="E32" s="14" t="inlineStr">
        <is>
          <t>AFS</t>
        </is>
      </c>
      <c r="F32" s="14" t="inlineStr"/>
      <c r="G32" s="14" t="inlineStr">
        <is>
          <t>AFS</t>
        </is>
      </c>
      <c r="H32" s="14" t="inlineStr">
        <is>
          <t>ARC TC Machinery Inspector</t>
        </is>
      </c>
      <c r="I32" s="14" t="inlineStr">
        <is>
          <t>Johan Stols</t>
        </is>
      </c>
      <c r="J32" s="14" t="inlineStr">
        <is>
          <t>0725336075</t>
        </is>
      </c>
      <c r="K32" s="14" t="inlineStr">
        <is>
          <t>Submitted</t>
        </is>
      </c>
    </row>
    <row r="33">
      <c r="A33" s="14" t="inlineStr">
        <is>
          <t>ethel.mienie@WearCheckRS.com</t>
        </is>
      </c>
      <c r="B33" s="14" t="inlineStr">
        <is>
          <t>Ethel Mienie</t>
        </is>
      </c>
      <c r="C33" s="14" t="inlineStr">
        <is>
          <t>WC488</t>
        </is>
      </c>
      <c r="D33" s="14" t="inlineStr">
        <is>
          <t>AFS</t>
        </is>
      </c>
      <c r="E33" s="14" t="inlineStr">
        <is>
          <t>AFS</t>
        </is>
      </c>
      <c r="F33" s="14" t="inlineStr"/>
      <c r="G33" s="14" t="inlineStr">
        <is>
          <t>AFS</t>
        </is>
      </c>
      <c r="H33" s="14" t="inlineStr">
        <is>
          <t>Administration Assistant</t>
        </is>
      </c>
      <c r="I33" s="14" t="inlineStr">
        <is>
          <t>Adri Ludick</t>
        </is>
      </c>
      <c r="J33" s="14" t="inlineStr">
        <is>
          <t>0660215452</t>
        </is>
      </c>
      <c r="K33" s="14" t="inlineStr">
        <is>
          <t>Submitted</t>
        </is>
      </c>
    </row>
    <row r="34">
      <c r="A34" s="14" t="inlineStr">
        <is>
          <t>epieterse@wearcheckrs.com</t>
        </is>
      </c>
      <c r="B34" s="14" t="inlineStr">
        <is>
          <t>Edward Pieterse</t>
        </is>
      </c>
      <c r="C34" s="14" t="inlineStr">
        <is>
          <t>WC271</t>
        </is>
      </c>
      <c r="D34" s="14" t="inlineStr">
        <is>
          <t>ARC-RCM</t>
        </is>
      </c>
      <c r="E34" s="14" t="inlineStr">
        <is>
          <t>WearCheck</t>
        </is>
      </c>
      <c r="F34" s="14" t="inlineStr">
        <is>
          <t>Springs</t>
        </is>
      </c>
      <c r="G34" s="14" t="inlineStr">
        <is>
          <t>RS</t>
        </is>
      </c>
      <c r="H34" s="14" t="inlineStr">
        <is>
          <t>ARC Reliability Specialist</t>
        </is>
      </c>
      <c r="I34" s="14" t="inlineStr">
        <is>
          <t>Peet Peacock</t>
        </is>
      </c>
      <c r="J34" s="14" t="inlineStr">
        <is>
          <t>0829057637</t>
        </is>
      </c>
      <c r="K34" s="14" t="inlineStr">
        <is>
          <t>Submitted</t>
        </is>
      </c>
    </row>
    <row r="35">
      <c r="A35" s="14" t="inlineStr">
        <is>
          <t>eugene@wearcheckrs.com</t>
        </is>
      </c>
      <c r="B35" s="14" t="inlineStr">
        <is>
          <t>Eugene Scheepers</t>
        </is>
      </c>
      <c r="C35" s="14" t="inlineStr">
        <is>
          <t>WEC090</t>
        </is>
      </c>
      <c r="D35" s="14" t="inlineStr">
        <is>
          <t>ARC-RCM</t>
        </is>
      </c>
      <c r="E35" s="14" t="inlineStr">
        <is>
          <t>GP Consult</t>
        </is>
      </c>
      <c r="F35" s="14" t="inlineStr">
        <is>
          <t>Neopak - Rosslyn</t>
        </is>
      </c>
      <c r="G35" s="14" t="inlineStr">
        <is>
          <t>RS</t>
        </is>
      </c>
      <c r="H35" s="14" t="inlineStr">
        <is>
          <t>Reliability Technician</t>
        </is>
      </c>
      <c r="I35" s="14" t="inlineStr">
        <is>
          <t>Francois Pretorius</t>
        </is>
      </c>
      <c r="J35" s="14" t="inlineStr">
        <is>
          <t>0790542385</t>
        </is>
      </c>
      <c r="K35" s="14" t="inlineStr">
        <is>
          <t>Submitted</t>
        </is>
      </c>
    </row>
    <row r="36">
      <c r="A36" s="14" t="inlineStr">
        <is>
          <t>evertv@wearcheck.co.za</t>
        </is>
      </c>
      <c r="B36" s="14" t="inlineStr">
        <is>
          <t>Evert Viljoen</t>
        </is>
      </c>
      <c r="C36" s="14" t="inlineStr">
        <is>
          <t>WC497</t>
        </is>
      </c>
      <c r="D36" s="14" t="inlineStr">
        <is>
          <t>ARC-NDT</t>
        </is>
      </c>
      <c r="E36" s="14" t="inlineStr">
        <is>
          <t>AFS</t>
        </is>
      </c>
      <c r="F36" s="14" t="inlineStr"/>
      <c r="G36" s="14" t="inlineStr">
        <is>
          <t>AFS</t>
        </is>
      </c>
      <c r="H36" s="14" t="inlineStr">
        <is>
          <t>Senior Machinery Inspector</t>
        </is>
      </c>
      <c r="I36" s="14" t="inlineStr">
        <is>
          <t>Adri Ludick</t>
        </is>
      </c>
      <c r="J36" s="14" t="inlineStr">
        <is>
          <t>0795284219</t>
        </is>
      </c>
      <c r="K36" s="14" t="inlineStr">
        <is>
          <t>Submitted</t>
        </is>
      </c>
    </row>
    <row r="37">
      <c r="A37" s="14" t="inlineStr">
        <is>
          <t>Franciosp@wearcheckRS.com</t>
        </is>
      </c>
      <c r="B37" s="14" t="inlineStr">
        <is>
          <t>Michael Francios  Pretorius</t>
        </is>
      </c>
      <c r="C37" s="14" t="inlineStr">
        <is>
          <t>WEC080</t>
        </is>
      </c>
      <c r="D37" s="14" t="inlineStr">
        <is>
          <t>ARC-RCM</t>
        </is>
      </c>
      <c r="E37" s="14" t="inlineStr">
        <is>
          <t>GP Consult</t>
        </is>
      </c>
      <c r="F37" s="14" t="inlineStr">
        <is>
          <t>Neopak - Rosslyn</t>
        </is>
      </c>
      <c r="G37" s="14" t="inlineStr">
        <is>
          <t>RS</t>
        </is>
      </c>
      <c r="H37" s="14" t="inlineStr">
        <is>
          <t>Reliability Analyst</t>
        </is>
      </c>
      <c r="I37" s="14" t="inlineStr">
        <is>
          <t>Peet Peacock</t>
        </is>
      </c>
      <c r="J37" s="14" t="inlineStr">
        <is>
          <t>0832773047</t>
        </is>
      </c>
      <c r="K37" s="14" t="inlineStr">
        <is>
          <t>Submitted</t>
        </is>
      </c>
    </row>
    <row r="38">
      <c r="A38" s="14" t="inlineStr">
        <is>
          <t>francoisve@wearcheckrs.com</t>
        </is>
      </c>
      <c r="B38" s="14" t="inlineStr">
        <is>
          <t>Francois Jacobus van Eeden</t>
        </is>
      </c>
      <c r="C38" s="14" t="inlineStr">
        <is>
          <t>WC287</t>
        </is>
      </c>
      <c r="D38" s="14" t="inlineStr">
        <is>
          <t>ARC-RCM</t>
        </is>
      </c>
      <c r="E38" s="14" t="inlineStr">
        <is>
          <t>WearCheck</t>
        </is>
      </c>
      <c r="F38" s="14" t="inlineStr">
        <is>
          <t>Remote Centre</t>
        </is>
      </c>
      <c r="G38" s="14" t="inlineStr">
        <is>
          <t>RS</t>
        </is>
      </c>
      <c r="H38" s="14" t="inlineStr">
        <is>
          <t>Condition Monitoring Specialist</t>
        </is>
      </c>
      <c r="I38" s="14" t="inlineStr">
        <is>
          <t>Andrew Robb</t>
        </is>
      </c>
      <c r="J38" s="14" t="inlineStr">
        <is>
          <t>0828023072</t>
        </is>
      </c>
      <c r="K38" s="14" t="inlineStr">
        <is>
          <t>Submitted</t>
        </is>
      </c>
    </row>
    <row r="39">
      <c r="A39" s="14" t="inlineStr">
        <is>
          <t>francoisp@wearcheckrs.com</t>
        </is>
      </c>
      <c r="B39" s="14" t="inlineStr">
        <is>
          <t>Jozua Francois Joubert Pienaar</t>
        </is>
      </c>
      <c r="C39" s="14" t="inlineStr">
        <is>
          <t>WEC111</t>
        </is>
      </c>
      <c r="D39" s="14" t="inlineStr">
        <is>
          <t>ARC-RCM</t>
        </is>
      </c>
      <c r="E39" s="14" t="inlineStr">
        <is>
          <t>GP Consult</t>
        </is>
      </c>
      <c r="F39" s="14" t="inlineStr">
        <is>
          <t>KwaZulu Natal - Hillside</t>
        </is>
      </c>
      <c r="G39" s="14" t="inlineStr">
        <is>
          <t>RS</t>
        </is>
      </c>
      <c r="H39" s="14" t="inlineStr">
        <is>
          <t>Reliability Analyst</t>
        </is>
      </c>
      <c r="I39" s="14" t="inlineStr">
        <is>
          <t>Peet Peacock</t>
        </is>
      </c>
      <c r="J39" s="14" t="inlineStr">
        <is>
          <t>0785618579</t>
        </is>
      </c>
      <c r="K39" s="14" t="inlineStr">
        <is>
          <t>Submitted</t>
        </is>
      </c>
    </row>
    <row r="40">
      <c r="A40" s="14" t="inlineStr">
        <is>
          <t>Freddy-Ben@wearcheckRS.com</t>
        </is>
      </c>
      <c r="B40" s="14" t="inlineStr">
        <is>
          <t>Freddy-Ben Gariseb</t>
        </is>
      </c>
      <c r="C40" s="14" t="inlineStr">
        <is>
          <t>WCN004</t>
        </is>
      </c>
      <c r="D40" s="14" t="inlineStr">
        <is>
          <t>ARC-RCM</t>
        </is>
      </c>
      <c r="E40" s="14" t="inlineStr">
        <is>
          <t>WearCheck</t>
        </is>
      </c>
      <c r="F40" s="14" t="inlineStr">
        <is>
          <t>Namibia</t>
        </is>
      </c>
      <c r="G40" s="14" t="inlineStr">
        <is>
          <t>Namibia</t>
        </is>
      </c>
      <c r="H40" s="14" t="inlineStr">
        <is>
          <t>Reliability Technician</t>
        </is>
      </c>
      <c r="I40" s="14" t="inlineStr">
        <is>
          <t>Rohan Willer</t>
        </is>
      </c>
      <c r="J40" s="14" t="inlineStr">
        <is>
          <t>264813707010</t>
        </is>
      </c>
      <c r="K40" s="14" t="inlineStr">
        <is>
          <t>Submitted</t>
        </is>
      </c>
    </row>
    <row r="41">
      <c r="A41" s="14" t="inlineStr">
        <is>
          <t>gabriel@wearcheckrs.com</t>
        </is>
      </c>
      <c r="B41" s="14" t="inlineStr">
        <is>
          <t>Gabriel Shikongo Nuunyango</t>
        </is>
      </c>
      <c r="C41" s="14" t="inlineStr">
        <is>
          <t>WCN007</t>
        </is>
      </c>
      <c r="D41" s="14" t="inlineStr">
        <is>
          <t>ARC-RCM</t>
        </is>
      </c>
      <c r="E41" s="14" t="inlineStr">
        <is>
          <t>WearCheck</t>
        </is>
      </c>
      <c r="F41" s="14" t="inlineStr">
        <is>
          <t>Namibia</t>
        </is>
      </c>
      <c r="G41" s="14" t="inlineStr">
        <is>
          <t>Namibia</t>
        </is>
      </c>
      <c r="H41" s="14" t="inlineStr">
        <is>
          <t>Reliability Technician</t>
        </is>
      </c>
      <c r="I41" s="14" t="inlineStr">
        <is>
          <t>Rohan Willer</t>
        </is>
      </c>
      <c r="J41" s="14" t="inlineStr">
        <is>
          <t>+264 81 364 5524</t>
        </is>
      </c>
      <c r="K41" s="14" t="inlineStr">
        <is>
          <t>Submitted</t>
        </is>
      </c>
    </row>
    <row r="42">
      <c r="A42" s="14" t="inlineStr">
        <is>
          <t>godfreyb@wearcheck.co.za</t>
        </is>
      </c>
      <c r="B42" s="14" t="inlineStr">
        <is>
          <t>Godfrey Boikhutso</t>
        </is>
      </c>
      <c r="C42" s="14" t="inlineStr">
        <is>
          <t>WC510</t>
        </is>
      </c>
      <c r="D42" s="14" t="inlineStr">
        <is>
          <t>ARC-TCA</t>
        </is>
      </c>
      <c r="E42" s="14" t="inlineStr">
        <is>
          <t>AFS</t>
        </is>
      </c>
      <c r="F42" s="14" t="inlineStr"/>
      <c r="G42" s="14" t="inlineStr">
        <is>
          <t>AFS</t>
        </is>
      </c>
      <c r="H42" s="14" t="inlineStr">
        <is>
          <t>Inspector</t>
        </is>
      </c>
      <c r="I42" s="14" t="inlineStr">
        <is>
          <t>Johan Stols</t>
        </is>
      </c>
      <c r="J42" s="14" t="inlineStr">
        <is>
          <t>0718609242</t>
        </is>
      </c>
      <c r="K42" s="14" t="inlineStr">
        <is>
          <t>Submitted</t>
        </is>
      </c>
    </row>
    <row r="43">
      <c r="A43" s="14" t="inlineStr">
        <is>
          <t>freddieh@wearcheck.co.za</t>
        </is>
      </c>
      <c r="B43" s="14" t="inlineStr">
        <is>
          <t>Gordon John Frederick Hoy</t>
        </is>
      </c>
      <c r="C43" s="14" t="inlineStr">
        <is>
          <t>WEC093</t>
        </is>
      </c>
      <c r="D43" s="14" t="inlineStr">
        <is>
          <t>AFS</t>
        </is>
      </c>
      <c r="E43" s="14" t="inlineStr">
        <is>
          <t>GP Consult</t>
        </is>
      </c>
      <c r="F43" s="14" t="inlineStr"/>
      <c r="G43" s="14" t="inlineStr">
        <is>
          <t>AFS</t>
        </is>
      </c>
      <c r="H43" s="14" t="inlineStr">
        <is>
          <t>Mechanical Technician</t>
        </is>
      </c>
      <c r="I43" s="14" t="inlineStr">
        <is>
          <t>Adri Ludick</t>
        </is>
      </c>
      <c r="J43" s="14" t="inlineStr">
        <is>
          <t>0825967126</t>
        </is>
      </c>
      <c r="K43" s="14" t="inlineStr">
        <is>
          <t>Submitted</t>
        </is>
      </c>
    </row>
    <row r="44">
      <c r="A44" s="14" t="inlineStr">
        <is>
          <t>gustav@wearcheckrs.com</t>
        </is>
      </c>
      <c r="B44" s="14" t="inlineStr">
        <is>
          <t>Gustav Lourens</t>
        </is>
      </c>
      <c r="C44" s="14" t="inlineStr">
        <is>
          <t>WC270</t>
        </is>
      </c>
      <c r="D44" s="14" t="inlineStr">
        <is>
          <t>ARC-RCM</t>
        </is>
      </c>
      <c r="E44" s="14" t="inlineStr">
        <is>
          <t>WearCheck</t>
        </is>
      </c>
      <c r="F44" s="14" t="inlineStr">
        <is>
          <t>Springs</t>
        </is>
      </c>
      <c r="G44" s="14" t="inlineStr">
        <is>
          <t>RS</t>
        </is>
      </c>
      <c r="H44" s="14" t="inlineStr">
        <is>
          <t>Reliability Technologist</t>
        </is>
      </c>
      <c r="I44" s="14" t="inlineStr">
        <is>
          <t>Eddie Pieterse Snr</t>
        </is>
      </c>
      <c r="J44" s="14" t="inlineStr">
        <is>
          <t>0829057631</t>
        </is>
      </c>
      <c r="K44" s="14" t="inlineStr">
        <is>
          <t>Submitted</t>
        </is>
      </c>
    </row>
    <row r="45">
      <c r="A45" s="14" t="inlineStr">
        <is>
          <t>hannest@wearcheckrs.com</t>
        </is>
      </c>
      <c r="B45" s="14" t="inlineStr">
        <is>
          <t>Hannest Koegelenberg</t>
        </is>
      </c>
      <c r="C45" s="14" t="inlineStr">
        <is>
          <t>WEC047</t>
        </is>
      </c>
      <c r="D45" s="14" t="inlineStr">
        <is>
          <t>ARC-RCM</t>
        </is>
      </c>
      <c r="E45" s="14" t="inlineStr">
        <is>
          <t>GP Consult</t>
        </is>
      </c>
      <c r="F45" s="14" t="inlineStr">
        <is>
          <t>Springs</t>
        </is>
      </c>
      <c r="G45" s="14" t="inlineStr">
        <is>
          <t>RS</t>
        </is>
      </c>
      <c r="H45" s="14" t="inlineStr">
        <is>
          <t>Reliability Technologist</t>
        </is>
      </c>
      <c r="I45" s="14" t="inlineStr">
        <is>
          <t>Eddie Pieterse Snr</t>
        </is>
      </c>
      <c r="J45" s="14" t="inlineStr">
        <is>
          <t>0823832542</t>
        </is>
      </c>
      <c r="K45" s="14" t="inlineStr">
        <is>
          <t>Submitted</t>
        </is>
      </c>
    </row>
    <row r="46">
      <c r="A46" s="14" t="inlineStr">
        <is>
          <t>heinc@wearcheckrs.com</t>
        </is>
      </c>
      <c r="B46" s="14" t="inlineStr">
        <is>
          <t>Hein Coetzer</t>
        </is>
      </c>
      <c r="C46" s="14" t="inlineStr">
        <is>
          <t>WEC129</t>
        </is>
      </c>
      <c r="D46" s="14" t="inlineStr">
        <is>
          <t>ARC-RCM</t>
        </is>
      </c>
      <c r="E46" s="14" t="inlineStr">
        <is>
          <t>GP Consult</t>
        </is>
      </c>
      <c r="F46" s="14" t="inlineStr">
        <is>
          <t>Samancor - TAS</t>
        </is>
      </c>
      <c r="G46" s="14" t="inlineStr">
        <is>
          <t>RS</t>
        </is>
      </c>
      <c r="H46" s="14" t="inlineStr">
        <is>
          <t>Precision Maintenance Technologist</t>
        </is>
      </c>
      <c r="I46" s="14" t="inlineStr">
        <is>
          <t>Peet Peacock</t>
        </is>
      </c>
      <c r="J46" s="14" t="inlineStr">
        <is>
          <t>0828887419</t>
        </is>
      </c>
      <c r="K46" s="14" t="inlineStr">
        <is>
          <t>Submitted</t>
        </is>
      </c>
    </row>
    <row r="47">
      <c r="A47" s="14" t="inlineStr">
        <is>
          <t>heinrich@wearcheckrs.com</t>
        </is>
      </c>
      <c r="B47" s="14" t="inlineStr">
        <is>
          <t>Fritz Kusel</t>
        </is>
      </c>
      <c r="C47" s="14" t="inlineStr">
        <is>
          <t>WEC134</t>
        </is>
      </c>
      <c r="D47" s="14" t="inlineStr">
        <is>
          <t>ARC-RCA</t>
        </is>
      </c>
      <c r="E47" s="14" t="inlineStr">
        <is>
          <t>GP Consult</t>
        </is>
      </c>
      <c r="F47" s="14" t="inlineStr"/>
      <c r="G47" s="14" t="inlineStr">
        <is>
          <t>RS</t>
        </is>
      </c>
      <c r="H47" s="14" t="inlineStr">
        <is>
          <t>RCA Technician</t>
        </is>
      </c>
      <c r="I47" s="14" t="inlineStr">
        <is>
          <t>Roger Henwood</t>
        </is>
      </c>
      <c r="J47" s="14" t="inlineStr">
        <is>
          <t>0796959474</t>
        </is>
      </c>
      <c r="K47" s="14" t="inlineStr">
        <is>
          <t>Submitted</t>
        </is>
      </c>
    </row>
    <row r="48">
      <c r="A48" s="14" t="inlineStr">
        <is>
          <t>henry@wearcheckrs.com</t>
        </is>
      </c>
      <c r="B48" s="14" t="inlineStr">
        <is>
          <t>Henry Mherekumombe</t>
        </is>
      </c>
      <c r="C48" s="14" t="inlineStr">
        <is>
          <t>WEC098</t>
        </is>
      </c>
      <c r="D48" s="14" t="inlineStr">
        <is>
          <t>ARC-NDT</t>
        </is>
      </c>
      <c r="E48" s="14" t="inlineStr">
        <is>
          <t>GP Consult</t>
        </is>
      </c>
      <c r="F48" s="14" t="inlineStr"/>
      <c r="G48" s="14" t="inlineStr">
        <is>
          <t>RS</t>
        </is>
      </c>
      <c r="H48" s="14" t="inlineStr">
        <is>
          <t>Level 2 Inspector</t>
        </is>
      </c>
      <c r="I48" s="14" t="inlineStr">
        <is>
          <t>Adri Ludick</t>
        </is>
      </c>
      <c r="J48" s="14" t="inlineStr">
        <is>
          <t>0664844117</t>
        </is>
      </c>
      <c r="K48" s="14" t="inlineStr">
        <is>
          <t>Submitted</t>
        </is>
      </c>
    </row>
    <row r="49">
      <c r="A49" s="14" t="inlineStr">
        <is>
          <t>isac@wearcheckrs.com</t>
        </is>
      </c>
      <c r="B49" s="14" t="inlineStr">
        <is>
          <t>Isac Zacarias</t>
        </is>
      </c>
      <c r="C49" s="14" t="inlineStr">
        <is>
          <t>Unknown</t>
        </is>
      </c>
      <c r="D49" s="14" t="inlineStr">
        <is>
          <t>ARC-RCM</t>
        </is>
      </c>
      <c r="E49" s="14" t="inlineStr">
        <is>
          <t>WearCheck</t>
        </is>
      </c>
      <c r="F49" s="14" t="inlineStr">
        <is>
          <t>Mozambique</t>
        </is>
      </c>
      <c r="G49" s="14" t="inlineStr">
        <is>
          <t>Mozambique</t>
        </is>
      </c>
      <c r="H49" s="14" t="inlineStr">
        <is>
          <t>Reliability Technician</t>
        </is>
      </c>
      <c r="I49" s="14" t="inlineStr">
        <is>
          <t>Riaan du Plooy</t>
        </is>
      </c>
      <c r="J49" s="14" t="inlineStr">
        <is>
          <t>258849439848</t>
        </is>
      </c>
      <c r="K49" s="14" t="inlineStr">
        <is>
          <t>Submitted</t>
        </is>
      </c>
    </row>
    <row r="50">
      <c r="A50" s="14" t="inlineStr">
        <is>
          <t>jacov@wearcheck.co.za</t>
        </is>
      </c>
      <c r="B50" s="14" t="inlineStr">
        <is>
          <t>Jacobus Frederick  Venter</t>
        </is>
      </c>
      <c r="C50" s="14" t="inlineStr">
        <is>
          <t>WC493</t>
        </is>
      </c>
      <c r="D50" s="14" t="inlineStr">
        <is>
          <t>ARC-NDT</t>
        </is>
      </c>
      <c r="E50" s="14" t="inlineStr">
        <is>
          <t>AFS</t>
        </is>
      </c>
      <c r="F50" s="14" t="inlineStr"/>
      <c r="G50" s="14" t="inlineStr">
        <is>
          <t>AFS</t>
        </is>
      </c>
      <c r="H50" s="14" t="inlineStr">
        <is>
          <t>Senior Machinery Inspector</t>
        </is>
      </c>
      <c r="I50" s="14" t="inlineStr">
        <is>
          <t>Adri Ludick</t>
        </is>
      </c>
      <c r="J50" s="14" t="inlineStr">
        <is>
          <t>0834009604</t>
        </is>
      </c>
      <c r="K50" s="14" t="inlineStr">
        <is>
          <t>Submitted</t>
        </is>
      </c>
    </row>
    <row r="51">
      <c r="A51" s="14" t="inlineStr">
        <is>
          <t>jaco@wearcheckrs.com</t>
        </is>
      </c>
      <c r="B51" s="14" t="inlineStr">
        <is>
          <t>Jacobus Johannes Willer</t>
        </is>
      </c>
      <c r="C51" s="14" t="inlineStr">
        <is>
          <t>WC352</t>
        </is>
      </c>
      <c r="D51" s="14" t="inlineStr">
        <is>
          <t>ARC-RCM</t>
        </is>
      </c>
      <c r="E51" s="14" t="inlineStr">
        <is>
          <t>WearCheck</t>
        </is>
      </c>
      <c r="F51" s="14" t="inlineStr">
        <is>
          <t>Longmeadow H/O</t>
        </is>
      </c>
      <c r="G51" s="14" t="inlineStr">
        <is>
          <t>RS</t>
        </is>
      </c>
      <c r="H51" s="14" t="inlineStr">
        <is>
          <t>Foreign Operations Business Unit Manager</t>
        </is>
      </c>
      <c r="I51" s="14" t="inlineStr">
        <is>
          <t>Philip Schutte</t>
        </is>
      </c>
      <c r="J51" s="14" t="inlineStr">
        <is>
          <t>0762681425</t>
        </is>
      </c>
      <c r="K51" s="14" t="inlineStr">
        <is>
          <t>Submitted</t>
        </is>
      </c>
    </row>
    <row r="52">
      <c r="A52" s="14" t="inlineStr">
        <is>
          <t>jacodb@wearcheckrs.com</t>
        </is>
      </c>
      <c r="B52" s="14" t="inlineStr">
        <is>
          <t>Theunis Gerhardus Jacobus de Beer</t>
        </is>
      </c>
      <c r="C52" s="14" t="inlineStr">
        <is>
          <t>WEC097</t>
        </is>
      </c>
      <c r="D52" s="14" t="inlineStr">
        <is>
          <t>ARC-RCM</t>
        </is>
      </c>
      <c r="E52" s="14" t="inlineStr">
        <is>
          <t>GP Consult</t>
        </is>
      </c>
      <c r="F52" s="14" t="inlineStr">
        <is>
          <t>Roamer</t>
        </is>
      </c>
      <c r="G52" s="14" t="inlineStr">
        <is>
          <t>RS</t>
        </is>
      </c>
      <c r="H52" s="14" t="inlineStr">
        <is>
          <t>Reliability Technologist</t>
        </is>
      </c>
      <c r="I52" s="14" t="inlineStr">
        <is>
          <t>Eben Prinsloo</t>
        </is>
      </c>
      <c r="J52" s="14" t="inlineStr">
        <is>
          <t>0715236313</t>
        </is>
      </c>
      <c r="K52" s="14" t="inlineStr">
        <is>
          <t>Submitted</t>
        </is>
      </c>
    </row>
    <row r="53">
      <c r="A53" s="14" t="inlineStr">
        <is>
          <t>james@WearCheckRS.com</t>
        </is>
      </c>
      <c r="B53" s="14" t="inlineStr">
        <is>
          <t>James Papayito Tshabalala</t>
        </is>
      </c>
      <c r="C53" s="14" t="inlineStr">
        <is>
          <t>WC236</t>
        </is>
      </c>
      <c r="D53" s="14" t="inlineStr">
        <is>
          <t>ARC-RCM</t>
        </is>
      </c>
      <c r="E53" s="14" t="inlineStr">
        <is>
          <t>WearCheck</t>
        </is>
      </c>
      <c r="F53" s="14" t="inlineStr">
        <is>
          <t>Valterra - Mototolo</t>
        </is>
      </c>
      <c r="G53" s="14" t="inlineStr">
        <is>
          <t>RS</t>
        </is>
      </c>
      <c r="H53" s="14" t="inlineStr">
        <is>
          <t>Reliability Technologist</t>
        </is>
      </c>
      <c r="I53" s="14" t="inlineStr">
        <is>
          <t>Annah Modutwane</t>
        </is>
      </c>
      <c r="J53" s="14" t="inlineStr">
        <is>
          <t>0662479987</t>
        </is>
      </c>
      <c r="K53" s="14" t="inlineStr">
        <is>
          <t>Submitted</t>
        </is>
      </c>
    </row>
    <row r="54">
      <c r="A54" s="14" t="inlineStr">
        <is>
          <t>janb@wearcheck.co.za</t>
        </is>
      </c>
      <c r="B54" s="14" t="inlineStr">
        <is>
          <t>Jan Booysens</t>
        </is>
      </c>
      <c r="C54" s="14" t="inlineStr">
        <is>
          <t>WC496</t>
        </is>
      </c>
      <c r="D54" s="14" t="inlineStr">
        <is>
          <t>ARC-NDT</t>
        </is>
      </c>
      <c r="E54" s="14" t="inlineStr">
        <is>
          <t>AFS</t>
        </is>
      </c>
      <c r="F54" s="14" t="inlineStr"/>
      <c r="G54" s="14" t="inlineStr">
        <is>
          <t>AFS</t>
        </is>
      </c>
      <c r="H54" s="14" t="inlineStr">
        <is>
          <t>Senior Machinery Inspector</t>
        </is>
      </c>
      <c r="I54" s="14" t="inlineStr">
        <is>
          <t>Adri Ludick</t>
        </is>
      </c>
      <c r="J54" s="14" t="inlineStr">
        <is>
          <t>0718665249</t>
        </is>
      </c>
      <c r="K54" s="14" t="inlineStr">
        <is>
          <t>Submitted</t>
        </is>
      </c>
    </row>
    <row r="55">
      <c r="A55" s="14" t="inlineStr">
        <is>
          <t>janniel@wearcheck.co.za</t>
        </is>
      </c>
      <c r="B55" s="14" t="inlineStr">
        <is>
          <t>Johann Louw</t>
        </is>
      </c>
      <c r="C55" s="14" t="inlineStr">
        <is>
          <t>WC494</t>
        </is>
      </c>
      <c r="D55" s="14" t="inlineStr">
        <is>
          <t>ARC-NDT</t>
        </is>
      </c>
      <c r="E55" s="14" t="inlineStr">
        <is>
          <t>AFS</t>
        </is>
      </c>
      <c r="F55" s="14" t="inlineStr"/>
      <c r="G55" s="14" t="inlineStr">
        <is>
          <t>AFS</t>
        </is>
      </c>
      <c r="H55" s="14" t="inlineStr">
        <is>
          <t>Inspector</t>
        </is>
      </c>
      <c r="I55" s="14" t="inlineStr">
        <is>
          <t>Adri Ludick</t>
        </is>
      </c>
      <c r="J55" s="14" t="inlineStr">
        <is>
          <t>0718607663</t>
        </is>
      </c>
      <c r="K55" s="14" t="inlineStr">
        <is>
          <t>Submitted</t>
        </is>
      </c>
    </row>
    <row r="56">
      <c r="A56" s="14" t="inlineStr">
        <is>
          <t>jj@wearcheckrs.com</t>
        </is>
      </c>
      <c r="B56" s="14" t="inlineStr">
        <is>
          <t>Jean Jacques de Beer</t>
        </is>
      </c>
      <c r="C56" s="14" t="inlineStr">
        <is>
          <t>WEC137</t>
        </is>
      </c>
      <c r="D56" s="14" t="inlineStr">
        <is>
          <t>ARC-RCM</t>
        </is>
      </c>
      <c r="E56" s="14" t="inlineStr">
        <is>
          <t>GP Consult</t>
        </is>
      </c>
      <c r="F56" s="14" t="inlineStr">
        <is>
          <t>Remote Centre</t>
        </is>
      </c>
      <c r="G56" s="14" t="inlineStr">
        <is>
          <t>RS</t>
        </is>
      </c>
      <c r="H56" s="14" t="inlineStr">
        <is>
          <t>Technical Advisor</t>
        </is>
      </c>
      <c r="I56" s="14" t="inlineStr">
        <is>
          <t>Andrew Robb</t>
        </is>
      </c>
      <c r="J56" s="14" t="inlineStr">
        <is>
          <t>0676700396</t>
        </is>
      </c>
      <c r="K56" s="14" t="inlineStr">
        <is>
          <t>Submitted</t>
        </is>
      </c>
    </row>
    <row r="57">
      <c r="A57" s="14" t="inlineStr">
        <is>
          <t>JohanB@wearcheckRS.com</t>
        </is>
      </c>
      <c r="B57" s="14" t="inlineStr">
        <is>
          <t>Johan Bekker</t>
        </is>
      </c>
      <c r="C57" s="14" t="inlineStr">
        <is>
          <t>WC645</t>
        </is>
      </c>
      <c r="D57" s="14" t="inlineStr">
        <is>
          <t>ARC-TCA</t>
        </is>
      </c>
      <c r="E57" s="14" t="inlineStr">
        <is>
          <t>AFS</t>
        </is>
      </c>
      <c r="F57" s="14" t="inlineStr"/>
      <c r="G57" s="14" t="inlineStr">
        <is>
          <t>AFS</t>
        </is>
      </c>
      <c r="H57" s="14" t="inlineStr">
        <is>
          <t>ARC TC Inspector</t>
        </is>
      </c>
      <c r="I57" s="14" t="inlineStr">
        <is>
          <t>Johan Stols</t>
        </is>
      </c>
      <c r="J57" s="14" t="inlineStr">
        <is>
          <t>0675951633</t>
        </is>
      </c>
      <c r="K57" s="14" t="inlineStr">
        <is>
          <t>Submitted</t>
        </is>
      </c>
    </row>
    <row r="58">
      <c r="A58" s="14" t="inlineStr">
        <is>
          <t>johanr@wearcheckrs.com</t>
        </is>
      </c>
      <c r="B58" s="14" t="inlineStr">
        <is>
          <t>Johan Rossouw</t>
        </is>
      </c>
      <c r="C58" s="14" t="inlineStr">
        <is>
          <t>WC491</t>
        </is>
      </c>
      <c r="D58" s="14" t="inlineStr">
        <is>
          <t>ARC-TCA</t>
        </is>
      </c>
      <c r="E58" s="14" t="inlineStr">
        <is>
          <t>AFS</t>
        </is>
      </c>
      <c r="F58" s="14" t="inlineStr"/>
      <c r="G58" s="14" t="inlineStr">
        <is>
          <t>AFS</t>
        </is>
      </c>
      <c r="H58" s="14" t="inlineStr">
        <is>
          <t>Senior Inspector</t>
        </is>
      </c>
      <c r="I58" s="14" t="inlineStr">
        <is>
          <t>Johan Stols</t>
        </is>
      </c>
      <c r="J58" s="14" t="inlineStr">
        <is>
          <t>0829274240</t>
        </is>
      </c>
      <c r="K58" s="14" t="inlineStr">
        <is>
          <t>Submitted</t>
        </is>
      </c>
    </row>
    <row r="59">
      <c r="A59" s="14" t="inlineStr">
        <is>
          <t>Johans@wearcheckrs.com</t>
        </is>
      </c>
      <c r="B59" s="14" t="inlineStr">
        <is>
          <t>Johannes Gideon Francios Stols</t>
        </is>
      </c>
      <c r="C59" s="14" t="inlineStr">
        <is>
          <t>WC508</t>
        </is>
      </c>
      <c r="D59" s="14" t="inlineStr">
        <is>
          <t>ARC-TCA</t>
        </is>
      </c>
      <c r="E59" s="14" t="inlineStr">
        <is>
          <t>AFS</t>
        </is>
      </c>
      <c r="F59" s="14" t="inlineStr"/>
      <c r="G59" s="14" t="inlineStr">
        <is>
          <t>AFS</t>
        </is>
      </c>
      <c r="H59" s="14" t="inlineStr">
        <is>
          <t>ARC TC Manager</t>
        </is>
      </c>
      <c r="I59" s="14" t="inlineStr">
        <is>
          <t>Philip Schutte</t>
        </is>
      </c>
      <c r="J59" s="14" t="inlineStr">
        <is>
          <t>0832943748</t>
        </is>
      </c>
      <c r="K59" s="14" t="inlineStr">
        <is>
          <t>Submitted</t>
        </is>
      </c>
    </row>
    <row r="60">
      <c r="A60" s="14" t="inlineStr">
        <is>
          <t>johandre@wearcheckrs.com</t>
        </is>
      </c>
      <c r="B60" s="14" t="inlineStr">
        <is>
          <t>Johannes Andréas Oosthuizen</t>
        </is>
      </c>
      <c r="C60" s="14" t="inlineStr">
        <is>
          <t>WEC089</t>
        </is>
      </c>
      <c r="D60" s="14" t="inlineStr">
        <is>
          <t>ARC-RCM</t>
        </is>
      </c>
      <c r="E60" s="14" t="inlineStr">
        <is>
          <t>GP Consult</t>
        </is>
      </c>
      <c r="F60" s="14" t="inlineStr">
        <is>
          <t>Samancor - Mooinooi</t>
        </is>
      </c>
      <c r="G60" s="14" t="inlineStr">
        <is>
          <t>RS</t>
        </is>
      </c>
      <c r="H60" s="14" t="inlineStr">
        <is>
          <t>Reliability Technician</t>
        </is>
      </c>
      <c r="I60" s="14" t="inlineStr"/>
      <c r="J60" s="14" t="inlineStr">
        <is>
          <t>0834373969</t>
        </is>
      </c>
      <c r="K60" s="14" t="inlineStr">
        <is>
          <t>Submitted</t>
        </is>
      </c>
    </row>
    <row r="61">
      <c r="A61" s="14" t="inlineStr">
        <is>
          <t>josephk@wearcheck.co.za</t>
        </is>
      </c>
      <c r="B61" s="14" t="inlineStr">
        <is>
          <t>Joseph Benjamin Kies</t>
        </is>
      </c>
      <c r="C61" s="14" t="inlineStr">
        <is>
          <t>WC531</t>
        </is>
      </c>
      <c r="D61" s="14" t="inlineStr">
        <is>
          <t>ARC-TCA</t>
        </is>
      </c>
      <c r="E61" s="14" t="inlineStr">
        <is>
          <t>AFS</t>
        </is>
      </c>
      <c r="F61" s="14" t="inlineStr"/>
      <c r="G61" s="14" t="inlineStr">
        <is>
          <t>AFS</t>
        </is>
      </c>
      <c r="H61" s="14" t="inlineStr">
        <is>
          <t>Machinery Inspector</t>
        </is>
      </c>
      <c r="I61" s="14" t="inlineStr">
        <is>
          <t>Johan Stols</t>
        </is>
      </c>
      <c r="J61" s="14" t="inlineStr">
        <is>
          <t>0674121368</t>
        </is>
      </c>
      <c r="K61" s="14" t="inlineStr">
        <is>
          <t>Submitted</t>
        </is>
      </c>
    </row>
    <row r="62">
      <c r="A62" s="14" t="inlineStr">
        <is>
          <t>jeanj@wearcheck.co.za</t>
        </is>
      </c>
      <c r="B62" s="14" t="inlineStr">
        <is>
          <t>Jean-Pierre Jordaan</t>
        </is>
      </c>
      <c r="C62" s="14" t="inlineStr">
        <is>
          <t>WC527</t>
        </is>
      </c>
      <c r="D62" s="14" t="inlineStr">
        <is>
          <t>ARC-NDT</t>
        </is>
      </c>
      <c r="E62" s="14" t="inlineStr">
        <is>
          <t>AFS</t>
        </is>
      </c>
      <c r="F62" s="14" t="inlineStr"/>
      <c r="G62" s="14" t="inlineStr">
        <is>
          <t>AFS</t>
        </is>
      </c>
      <c r="H62" s="14" t="inlineStr">
        <is>
          <t>Inspector (Lifting and NDT)</t>
        </is>
      </c>
      <c r="I62" s="14" t="inlineStr">
        <is>
          <t>Adri Ludick</t>
        </is>
      </c>
      <c r="J62" s="14" t="inlineStr">
        <is>
          <t>0674121382</t>
        </is>
      </c>
      <c r="K62" s="14" t="inlineStr">
        <is>
          <t>Submitted</t>
        </is>
      </c>
    </row>
    <row r="63">
      <c r="A63" s="14" t="inlineStr">
        <is>
          <t>kevin@wearcheckrs.com</t>
        </is>
      </c>
      <c r="B63" s="14" t="inlineStr">
        <is>
          <t>Kevin Henwood</t>
        </is>
      </c>
      <c r="C63" s="14" t="inlineStr">
        <is>
          <t>WEC135</t>
        </is>
      </c>
      <c r="D63" s="14" t="inlineStr">
        <is>
          <t>ARC-RCA</t>
        </is>
      </c>
      <c r="E63" s="14" t="inlineStr">
        <is>
          <t>GP Consult</t>
        </is>
      </c>
      <c r="F63" s="14" t="inlineStr"/>
      <c r="G63" s="14" t="inlineStr">
        <is>
          <t>RS</t>
        </is>
      </c>
      <c r="H63" s="14" t="inlineStr">
        <is>
          <t>RCA Technician</t>
        </is>
      </c>
      <c r="I63" s="14" t="inlineStr">
        <is>
          <t>Roger Henwood</t>
        </is>
      </c>
      <c r="J63" s="14" t="inlineStr">
        <is>
          <t>0829072077</t>
        </is>
      </c>
      <c r="K63" s="14" t="inlineStr">
        <is>
          <t>Submitted</t>
        </is>
      </c>
    </row>
    <row r="64">
      <c r="A64" s="14" t="inlineStr">
        <is>
          <t>khotso@wearcheckrs.com</t>
        </is>
      </c>
      <c r="B64" s="14" t="inlineStr">
        <is>
          <t>Khotso Thabo Mosala</t>
        </is>
      </c>
      <c r="C64" s="14" t="inlineStr">
        <is>
          <t>WC482</t>
        </is>
      </c>
      <c r="D64" s="14" t="inlineStr">
        <is>
          <t>ARC-TCA</t>
        </is>
      </c>
      <c r="E64" s="14" t="inlineStr">
        <is>
          <t>AFS</t>
        </is>
      </c>
      <c r="F64" s="14" t="inlineStr"/>
      <c r="G64" s="14" t="inlineStr">
        <is>
          <t>AFS</t>
        </is>
      </c>
      <c r="H64" s="14" t="inlineStr">
        <is>
          <t>Inspector</t>
        </is>
      </c>
      <c r="I64" s="14" t="inlineStr">
        <is>
          <t>Johan Stols</t>
        </is>
      </c>
      <c r="J64" s="14" t="inlineStr">
        <is>
          <t>0823321905</t>
        </is>
      </c>
      <c r="K64" s="14" t="inlineStr">
        <is>
          <t>Submitted</t>
        </is>
      </c>
    </row>
    <row r="65">
      <c r="A65" s="14" t="inlineStr">
        <is>
          <t>Leon@wearcheckrs.com</t>
        </is>
      </c>
      <c r="B65" s="14" t="inlineStr">
        <is>
          <t>Leon Coetzee</t>
        </is>
      </c>
      <c r="C65" s="14" t="inlineStr">
        <is>
          <t>WC455</t>
        </is>
      </c>
      <c r="D65" s="14" t="inlineStr">
        <is>
          <t>ARC-RCM</t>
        </is>
      </c>
      <c r="E65" s="14" t="inlineStr">
        <is>
          <t>WearCheck</t>
        </is>
      </c>
      <c r="F65" s="14" t="inlineStr">
        <is>
          <t>Steelpoort</t>
        </is>
      </c>
      <c r="G65" s="14" t="inlineStr">
        <is>
          <t>RS</t>
        </is>
      </c>
      <c r="H65" s="14" t="inlineStr">
        <is>
          <t>Reliability Technologist</t>
        </is>
      </c>
      <c r="I65" s="14" t="inlineStr">
        <is>
          <t>Londolani Managa</t>
        </is>
      </c>
      <c r="J65" s="14" t="inlineStr">
        <is>
          <t>0832881463</t>
        </is>
      </c>
      <c r="K65" s="14" t="inlineStr">
        <is>
          <t>Submitted</t>
        </is>
      </c>
    </row>
    <row r="66">
      <c r="A66" s="14" t="inlineStr">
        <is>
          <t>Lesego@WearCheckRS.com</t>
        </is>
      </c>
      <c r="B66" s="14" t="inlineStr">
        <is>
          <t>Lesego Khuthwane</t>
        </is>
      </c>
      <c r="C66" s="14" t="inlineStr">
        <is>
          <t>WEC126</t>
        </is>
      </c>
      <c r="D66" s="14" t="inlineStr">
        <is>
          <t>ARC-RCM</t>
        </is>
      </c>
      <c r="E66" s="14" t="inlineStr">
        <is>
          <t>GP Consult</t>
        </is>
      </c>
      <c r="F66" s="14" t="inlineStr">
        <is>
          <t>Longmeadow H/O</t>
        </is>
      </c>
      <c r="G66" s="14" t="inlineStr">
        <is>
          <t>RS</t>
        </is>
      </c>
      <c r="H66" s="14" t="inlineStr">
        <is>
          <t>Remote Centre Administrator</t>
        </is>
      </c>
      <c r="I66" s="14" t="inlineStr">
        <is>
          <t>Andrew Robb</t>
        </is>
      </c>
      <c r="J66" s="14" t="inlineStr">
        <is>
          <t>0849892260</t>
        </is>
      </c>
      <c r="K66" s="14" t="inlineStr">
        <is>
          <t>Submitted</t>
        </is>
      </c>
    </row>
    <row r="67">
      <c r="A67" s="14" t="inlineStr">
        <is>
          <t>lorrainem@wearcheck.co.za</t>
        </is>
      </c>
      <c r="B67" s="14" t="inlineStr">
        <is>
          <t>Lorraine Lerato Mokgethi</t>
        </is>
      </c>
      <c r="C67" s="14" t="inlineStr">
        <is>
          <t>WC495</t>
        </is>
      </c>
      <c r="D67" s="14" t="inlineStr">
        <is>
          <t>ARC-NDT</t>
        </is>
      </c>
      <c r="E67" s="14" t="inlineStr">
        <is>
          <t>AFS</t>
        </is>
      </c>
      <c r="F67" s="14" t="inlineStr"/>
      <c r="G67" s="14" t="inlineStr">
        <is>
          <t>AFS</t>
        </is>
      </c>
      <c r="H67" s="14" t="inlineStr">
        <is>
          <t>Technician</t>
        </is>
      </c>
      <c r="I67" s="14" t="inlineStr">
        <is>
          <t>Adri Ludick</t>
        </is>
      </c>
      <c r="J67" s="14" t="inlineStr">
        <is>
          <t>786 672 158</t>
        </is>
      </c>
      <c r="K67" s="14" t="inlineStr">
        <is>
          <t>Submitted</t>
        </is>
      </c>
    </row>
    <row r="68">
      <c r="A68" s="14" t="inlineStr">
        <is>
          <t>londolanim@wearcheckrs.com</t>
        </is>
      </c>
      <c r="B68" s="14" t="inlineStr">
        <is>
          <t>Londolani Managa</t>
        </is>
      </c>
      <c r="C68" s="14" t="inlineStr">
        <is>
          <t>WC648</t>
        </is>
      </c>
      <c r="D68" s="14" t="inlineStr">
        <is>
          <t>ARC-RCM</t>
        </is>
      </c>
      <c r="E68" s="14" t="inlineStr">
        <is>
          <t>WearCheck</t>
        </is>
      </c>
      <c r="F68" s="14" t="inlineStr">
        <is>
          <t>Samancor - MFC</t>
        </is>
      </c>
      <c r="G68" s="14" t="inlineStr">
        <is>
          <t>RS</t>
        </is>
      </c>
      <c r="H68" s="14" t="inlineStr">
        <is>
          <t>Precision Maintenance Technologist</t>
        </is>
      </c>
      <c r="I68" s="14" t="inlineStr">
        <is>
          <t>Peet Peacock</t>
        </is>
      </c>
      <c r="J68" s="14" t="inlineStr">
        <is>
          <t>0711682839</t>
        </is>
      </c>
      <c r="K68" s="14" t="inlineStr">
        <is>
          <t>Submitted</t>
        </is>
      </c>
    </row>
    <row r="69">
      <c r="A69" s="14" t="inlineStr">
        <is>
          <t>lopim@wearcheck.co.za</t>
        </is>
      </c>
      <c r="B69" s="14" t="inlineStr">
        <is>
          <t>Bernard Lopi Molangoane</t>
        </is>
      </c>
      <c r="C69" s="14" t="inlineStr">
        <is>
          <t>WC269</t>
        </is>
      </c>
      <c r="D69" s="14" t="inlineStr">
        <is>
          <t>ARC-RCM</t>
        </is>
      </c>
      <c r="E69" s="14" t="inlineStr">
        <is>
          <t>WearCheck</t>
        </is>
      </c>
      <c r="F69" s="14" t="inlineStr">
        <is>
          <t>Valterra - Mototolo</t>
        </is>
      </c>
      <c r="G69" s="14" t="inlineStr">
        <is>
          <t>RS</t>
        </is>
      </c>
      <c r="H69" s="14" t="inlineStr">
        <is>
          <t>Sampler</t>
        </is>
      </c>
      <c r="I69" s="14" t="inlineStr">
        <is>
          <t>Annah Modutwane</t>
        </is>
      </c>
      <c r="J69" s="14" t="inlineStr">
        <is>
          <t>0636888886</t>
        </is>
      </c>
      <c r="K69" s="14" t="inlineStr">
        <is>
          <t>Submitted</t>
        </is>
      </c>
    </row>
    <row r="70">
      <c r="A70" s="14" t="inlineStr">
        <is>
          <t>louis@wearcheckrs.com</t>
        </is>
      </c>
      <c r="B70" s="14" t="inlineStr">
        <is>
          <t>Louis Robert Peacock</t>
        </is>
      </c>
      <c r="C70" s="14" t="inlineStr">
        <is>
          <t>WC277</t>
        </is>
      </c>
      <c r="D70" s="14" t="inlineStr">
        <is>
          <t>ARC-RCM</t>
        </is>
      </c>
      <c r="E70" s="14" t="inlineStr">
        <is>
          <t>WearCheck</t>
        </is>
      </c>
      <c r="F70" s="14" t="inlineStr">
        <is>
          <t>Longmeadow H/O</t>
        </is>
      </c>
      <c r="G70" s="14" t="inlineStr">
        <is>
          <t>RS</t>
        </is>
      </c>
      <c r="H70" s="14" t="inlineStr">
        <is>
          <t>Technical &amp; Training Manager</t>
        </is>
      </c>
      <c r="I70" s="14" t="inlineStr">
        <is>
          <t>Annemie Willer</t>
        </is>
      </c>
      <c r="J70" s="14" t="inlineStr"/>
      <c r="K70" s="14" t="inlineStr">
        <is>
          <t>Incomplete</t>
        </is>
      </c>
    </row>
    <row r="71">
      <c r="A71" s="14" t="inlineStr">
        <is>
          <t>lubby@wearcheckrs.com</t>
        </is>
      </c>
      <c r="B71" s="14" t="inlineStr">
        <is>
          <t>Labby Jeffrey Lubis</t>
        </is>
      </c>
      <c r="C71" s="14" t="inlineStr">
        <is>
          <t>WEC118</t>
        </is>
      </c>
      <c r="D71" s="14" t="inlineStr">
        <is>
          <t>ARC-RCM</t>
        </is>
      </c>
      <c r="E71" s="14" t="inlineStr">
        <is>
          <t>GP Consult</t>
        </is>
      </c>
      <c r="F71" s="14" t="inlineStr">
        <is>
          <t>Samancor - Doornbosch</t>
        </is>
      </c>
      <c r="G71" s="14" t="inlineStr">
        <is>
          <t>RS</t>
        </is>
      </c>
      <c r="H71" s="14" t="inlineStr">
        <is>
          <t>Reliability Technologist - Site Suprevisor</t>
        </is>
      </c>
      <c r="I71" s="14" t="inlineStr">
        <is>
          <t>Peet Peacock</t>
        </is>
      </c>
      <c r="J71" s="14" t="inlineStr">
        <is>
          <t>0796915943</t>
        </is>
      </c>
      <c r="K71" s="14" t="inlineStr">
        <is>
          <t>Submitted</t>
        </is>
      </c>
    </row>
    <row r="72">
      <c r="A72" s="14" t="inlineStr">
        <is>
          <t>lucas@wearcheckrs.com</t>
        </is>
      </c>
      <c r="B72" s="14" t="inlineStr">
        <is>
          <t>Lucas Johannes Bartel Luus</t>
        </is>
      </c>
      <c r="C72" s="14" t="inlineStr">
        <is>
          <t>WEC068</t>
        </is>
      </c>
      <c r="D72" s="14" t="inlineStr">
        <is>
          <t>ARC-RCM</t>
        </is>
      </c>
      <c r="E72" s="14" t="inlineStr">
        <is>
          <t>GP Consult</t>
        </is>
      </c>
      <c r="F72" s="14" t="inlineStr">
        <is>
          <t>Kathu</t>
        </is>
      </c>
      <c r="G72" s="14" t="inlineStr">
        <is>
          <t>RS</t>
        </is>
      </c>
      <c r="H72" s="14" t="inlineStr">
        <is>
          <t>Reliability Technician</t>
        </is>
      </c>
      <c r="I72" s="14" t="inlineStr">
        <is>
          <t>Andrew Robb</t>
        </is>
      </c>
      <c r="J72" s="14" t="inlineStr">
        <is>
          <t>0763455962</t>
        </is>
      </c>
      <c r="K72" s="14" t="inlineStr">
        <is>
          <t>Submitted</t>
        </is>
      </c>
    </row>
    <row r="73">
      <c r="A73" s="14" t="inlineStr">
        <is>
          <t>mande@wearcheckrs.com</t>
        </is>
      </c>
      <c r="B73" s="14" t="inlineStr">
        <is>
          <t>Mandé Coetzee</t>
        </is>
      </c>
      <c r="C73" s="14" t="inlineStr">
        <is>
          <t>WEC116</t>
        </is>
      </c>
      <c r="D73" s="14" t="inlineStr">
        <is>
          <t>ARC-RCM</t>
        </is>
      </c>
      <c r="E73" s="14" t="inlineStr">
        <is>
          <t>GP Consult</t>
        </is>
      </c>
      <c r="F73" s="14" t="inlineStr">
        <is>
          <t>Longmeadow H/O</t>
        </is>
      </c>
      <c r="G73" s="14" t="inlineStr">
        <is>
          <t>RS</t>
        </is>
      </c>
      <c r="H73" s="14" t="inlineStr">
        <is>
          <t>RS Administrator</t>
        </is>
      </c>
      <c r="I73" s="14" t="inlineStr">
        <is>
          <t>Shivon Alberts</t>
        </is>
      </c>
      <c r="J73" s="14" t="inlineStr">
        <is>
          <t>079 128 9133</t>
        </is>
      </c>
      <c r="K73" s="14" t="inlineStr">
        <is>
          <t>Submitted</t>
        </is>
      </c>
    </row>
    <row r="74">
      <c r="A74" s="14" t="inlineStr">
        <is>
          <t>marcel@wearcheckrs.com</t>
        </is>
      </c>
      <c r="B74" s="14" t="inlineStr">
        <is>
          <t>Marcel Schoeman</t>
        </is>
      </c>
      <c r="C74" s="14" t="inlineStr">
        <is>
          <t>WEC102</t>
        </is>
      </c>
      <c r="D74" s="14" t="inlineStr">
        <is>
          <t>ARC-RCM</t>
        </is>
      </c>
      <c r="E74" s="14" t="inlineStr">
        <is>
          <t>GP Consult</t>
        </is>
      </c>
      <c r="F74" s="14" t="inlineStr">
        <is>
          <t>Roamer</t>
        </is>
      </c>
      <c r="G74" s="14" t="inlineStr">
        <is>
          <t>RS</t>
        </is>
      </c>
      <c r="H74" s="14" t="inlineStr">
        <is>
          <t>Sales Manager</t>
        </is>
      </c>
      <c r="I74" s="14" t="inlineStr">
        <is>
          <t>Annemie Willer</t>
        </is>
      </c>
      <c r="J74" s="14" t="inlineStr">
        <is>
          <t>0767946353</t>
        </is>
      </c>
      <c r="K74" s="14" t="inlineStr">
        <is>
          <t>Submitted</t>
        </is>
      </c>
    </row>
    <row r="75">
      <c r="A75" s="14" t="inlineStr">
        <is>
          <t>mariette@wearcheckrs.com</t>
        </is>
      </c>
      <c r="B75" s="14" t="inlineStr">
        <is>
          <t>Mariette du Rand</t>
        </is>
      </c>
      <c r="C75" s="14" t="inlineStr">
        <is>
          <t>WEC109</t>
        </is>
      </c>
      <c r="D75" s="14" t="inlineStr">
        <is>
          <t>ARC-RCM</t>
        </is>
      </c>
      <c r="E75" s="14" t="inlineStr">
        <is>
          <t>GP Consult</t>
        </is>
      </c>
      <c r="F75" s="14" t="inlineStr">
        <is>
          <t>Longmeadow H/O</t>
        </is>
      </c>
      <c r="G75" s="14" t="inlineStr">
        <is>
          <t>RS</t>
        </is>
      </c>
      <c r="H75" s="14" t="inlineStr">
        <is>
          <t>RS Administrator</t>
        </is>
      </c>
      <c r="I75" s="14" t="inlineStr">
        <is>
          <t>Megan Salzwedel</t>
        </is>
      </c>
      <c r="J75" s="14" t="inlineStr">
        <is>
          <t>0837835814</t>
        </is>
      </c>
      <c r="K75" s="14" t="inlineStr">
        <is>
          <t>Submitted</t>
        </is>
      </c>
    </row>
    <row r="76">
      <c r="A76" s="14" t="inlineStr">
        <is>
          <t>martiens@wearcheckrs.com</t>
        </is>
      </c>
      <c r="B76" s="14" t="inlineStr">
        <is>
          <t>Marthinus Jacobus van Aarde</t>
        </is>
      </c>
      <c r="C76" s="14" t="inlineStr">
        <is>
          <t>WEC106</t>
        </is>
      </c>
      <c r="D76" s="14" t="inlineStr">
        <is>
          <t>ARC-RCM</t>
        </is>
      </c>
      <c r="E76" s="14" t="inlineStr">
        <is>
          <t>GP Consult</t>
        </is>
      </c>
      <c r="F76" s="14" t="inlineStr">
        <is>
          <t>Eskom - Matimba</t>
        </is>
      </c>
      <c r="G76" s="14" t="inlineStr">
        <is>
          <t>RS</t>
        </is>
      </c>
      <c r="H76" s="14" t="inlineStr">
        <is>
          <t>Reliability Technician</t>
        </is>
      </c>
      <c r="I76" s="14" t="inlineStr">
        <is>
          <t>Tsietsi Monnanyne</t>
        </is>
      </c>
      <c r="J76" s="14" t="inlineStr">
        <is>
          <t>0834550909</t>
        </is>
      </c>
      <c r="K76" s="14" t="inlineStr">
        <is>
          <t>Submitted</t>
        </is>
      </c>
    </row>
    <row r="77">
      <c r="A77" s="14" t="inlineStr">
        <is>
          <t>mikes@weacheckrs.com</t>
        </is>
      </c>
      <c r="B77" s="14" t="inlineStr">
        <is>
          <t>Mike Mbongeni Shongwe</t>
        </is>
      </c>
      <c r="C77" s="14" t="inlineStr">
        <is>
          <t>WC483</t>
        </is>
      </c>
      <c r="D77" s="14" t="inlineStr">
        <is>
          <t>ARC-NDT</t>
        </is>
      </c>
      <c r="E77" s="14" t="inlineStr">
        <is>
          <t>AFS</t>
        </is>
      </c>
      <c r="F77" s="14" t="inlineStr"/>
      <c r="G77" s="14" t="inlineStr">
        <is>
          <t>AFS</t>
        </is>
      </c>
      <c r="H77" s="14" t="inlineStr">
        <is>
          <t>Senior Inspector</t>
        </is>
      </c>
      <c r="I77" s="14" t="inlineStr">
        <is>
          <t>Adri Ludick</t>
        </is>
      </c>
      <c r="J77" s="14" t="inlineStr">
        <is>
          <t>0718507077</t>
        </is>
      </c>
      <c r="K77" s="14" t="inlineStr">
        <is>
          <t>Submitted</t>
        </is>
      </c>
    </row>
    <row r="78">
      <c r="A78" s="14" t="inlineStr">
        <is>
          <t>megan@wearcheckrs.com</t>
        </is>
      </c>
      <c r="B78" s="14" t="inlineStr">
        <is>
          <t>Megan Salzwedel</t>
        </is>
      </c>
      <c r="C78" s="14" t="inlineStr">
        <is>
          <t>WEC104</t>
        </is>
      </c>
      <c r="D78" s="14" t="inlineStr">
        <is>
          <t>ARC-RCM</t>
        </is>
      </c>
      <c r="E78" s="14" t="inlineStr">
        <is>
          <t>GP Consult</t>
        </is>
      </c>
      <c r="F78" s="14" t="inlineStr">
        <is>
          <t>Longmeadow H/O</t>
        </is>
      </c>
      <c r="G78" s="14" t="inlineStr">
        <is>
          <t>RS</t>
        </is>
      </c>
      <c r="H78" s="14" t="inlineStr">
        <is>
          <t>Administration Manager</t>
        </is>
      </c>
      <c r="I78" s="14" t="inlineStr">
        <is>
          <t>Edward Pieterse Jnr</t>
        </is>
      </c>
      <c r="J78" s="14" t="inlineStr">
        <is>
          <t>0720591125</t>
        </is>
      </c>
      <c r="K78" s="14" t="inlineStr">
        <is>
          <t>Submitted</t>
        </is>
      </c>
    </row>
    <row r="79">
      <c r="A79" s="14" t="inlineStr">
        <is>
          <t>mervyng@wearcheck.co.za</t>
        </is>
      </c>
      <c r="B79" s="14" t="inlineStr">
        <is>
          <t>Mervyn Thomas Gibbons</t>
        </is>
      </c>
      <c r="C79" s="14" t="inlineStr">
        <is>
          <t>WC536</t>
        </is>
      </c>
      <c r="D79" s="14" t="inlineStr">
        <is>
          <t>ARC-TCA</t>
        </is>
      </c>
      <c r="E79" s="14" t="inlineStr">
        <is>
          <t>AFS</t>
        </is>
      </c>
      <c r="F79" s="14" t="inlineStr"/>
      <c r="G79" s="14" t="inlineStr">
        <is>
          <t>AFS</t>
        </is>
      </c>
      <c r="H79" s="14" t="inlineStr">
        <is>
          <t>ARC TC Machinery Inspector</t>
        </is>
      </c>
      <c r="I79" s="14" t="inlineStr">
        <is>
          <t>Johan Stols</t>
        </is>
      </c>
      <c r="J79" s="14" t="inlineStr">
        <is>
          <t>0674193633</t>
        </is>
      </c>
      <c r="K79" s="14" t="inlineStr">
        <is>
          <t>Submitted</t>
        </is>
      </c>
    </row>
    <row r="80">
      <c r="A80" s="14" t="inlineStr">
        <is>
          <t>meshack@wearcheckrs.com</t>
        </is>
      </c>
      <c r="B80" s="14" t="inlineStr">
        <is>
          <t>Meshack Welcome Nxumalo</t>
        </is>
      </c>
      <c r="C80" s="14" t="inlineStr">
        <is>
          <t>WEC088</t>
        </is>
      </c>
      <c r="D80" s="14" t="inlineStr">
        <is>
          <t>ARC-RCM</t>
        </is>
      </c>
      <c r="E80" s="14" t="inlineStr">
        <is>
          <t>GP Consult</t>
        </is>
      </c>
      <c r="F80" s="14" t="inlineStr">
        <is>
          <t>KwaZulu Natal</t>
        </is>
      </c>
      <c r="G80" s="14" t="inlineStr">
        <is>
          <t>RS</t>
        </is>
      </c>
      <c r="H80" s="14" t="inlineStr">
        <is>
          <t>Reliability Technologist</t>
        </is>
      </c>
      <c r="I80" s="14" t="inlineStr">
        <is>
          <t>Francois Pienaar</t>
        </is>
      </c>
      <c r="J80" s="14" t="inlineStr">
        <is>
          <t>0638165404</t>
        </is>
      </c>
      <c r="K80" s="14" t="inlineStr">
        <is>
          <t>Submitted</t>
        </is>
      </c>
    </row>
    <row r="81">
      <c r="A81" s="14" t="inlineStr">
        <is>
          <t>micheal@wearcheckrs.com</t>
        </is>
      </c>
      <c r="B81" s="14" t="inlineStr">
        <is>
          <t>Micheal Francios Pretorius</t>
        </is>
      </c>
      <c r="C81" s="14" t="inlineStr">
        <is>
          <t>WEC076</t>
        </is>
      </c>
      <c r="D81" s="14" t="inlineStr">
        <is>
          <t>ARC-RCM</t>
        </is>
      </c>
      <c r="E81" s="14" t="inlineStr">
        <is>
          <t>GP Consult</t>
        </is>
      </c>
      <c r="F81" s="14" t="inlineStr">
        <is>
          <t>RBMR and PMR</t>
        </is>
      </c>
      <c r="G81" s="14" t="inlineStr">
        <is>
          <t>RS</t>
        </is>
      </c>
      <c r="H81" s="14" t="inlineStr">
        <is>
          <t>Reliability Analyst - Site Supervisor</t>
        </is>
      </c>
      <c r="I81" s="14" t="inlineStr">
        <is>
          <t>Peet Peacock</t>
        </is>
      </c>
      <c r="J81" s="14" t="inlineStr">
        <is>
          <t>0828864900</t>
        </is>
      </c>
      <c r="K81" s="14" t="inlineStr">
        <is>
          <t>Submitted</t>
        </is>
      </c>
    </row>
    <row r="82">
      <c r="A82" s="14" t="inlineStr">
        <is>
          <t>michealm@wearcheckrs.com</t>
        </is>
      </c>
      <c r="B82" s="14" t="inlineStr">
        <is>
          <t>Seporo Micheal Masemola</t>
        </is>
      </c>
      <c r="C82" s="14" t="inlineStr">
        <is>
          <t>WC291</t>
        </is>
      </c>
      <c r="D82" s="14" t="inlineStr">
        <is>
          <t>ARC-RCM</t>
        </is>
      </c>
      <c r="E82" s="14" t="inlineStr">
        <is>
          <t>WearCheck</t>
        </is>
      </c>
      <c r="F82" s="14" t="inlineStr">
        <is>
          <t>Valterra - Mototolo</t>
        </is>
      </c>
      <c r="G82" s="14" t="inlineStr">
        <is>
          <t>RS</t>
        </is>
      </c>
      <c r="H82" s="14" t="inlineStr">
        <is>
          <t>Reliability Technologist</t>
        </is>
      </c>
      <c r="I82" s="14" t="inlineStr">
        <is>
          <t>Annah Modutwane</t>
        </is>
      </c>
      <c r="J82" s="14" t="inlineStr">
        <is>
          <t>0820828925</t>
        </is>
      </c>
      <c r="K82" s="14" t="inlineStr">
        <is>
          <t>Submitted</t>
        </is>
      </c>
    </row>
    <row r="83">
      <c r="A83" s="14" t="inlineStr">
        <is>
          <t>betty@wearcheckrs.com</t>
        </is>
      </c>
      <c r="B83" s="14" t="inlineStr">
        <is>
          <t>Mmatapa Betty Monyepao</t>
        </is>
      </c>
      <c r="C83" s="14" t="inlineStr">
        <is>
          <t>WC465</t>
        </is>
      </c>
      <c r="D83" s="14" t="inlineStr">
        <is>
          <t>ARC-RCM</t>
        </is>
      </c>
      <c r="E83" s="14" t="inlineStr">
        <is>
          <t>WearCheck</t>
        </is>
      </c>
      <c r="F83" s="14" t="inlineStr">
        <is>
          <t>Valterra - Mototolo</t>
        </is>
      </c>
      <c r="G83" s="14" t="inlineStr">
        <is>
          <t>RS</t>
        </is>
      </c>
      <c r="H83" s="14" t="inlineStr">
        <is>
          <t>Reliability Technician</t>
        </is>
      </c>
      <c r="I83" s="14" t="inlineStr">
        <is>
          <t>Annah Modutwane</t>
        </is>
      </c>
      <c r="J83" s="14" t="inlineStr">
        <is>
          <t>0768125164</t>
        </is>
      </c>
      <c r="K83" s="14" t="inlineStr">
        <is>
          <t>Submitted</t>
        </is>
      </c>
    </row>
    <row r="84">
      <c r="A84" s="14" t="inlineStr">
        <is>
          <t>mornea@wearcheckrs.com</t>
        </is>
      </c>
      <c r="B84" s="14" t="inlineStr">
        <is>
          <t>Mórne Alberts</t>
        </is>
      </c>
      <c r="C84" s="14" t="inlineStr">
        <is>
          <t>WC361</t>
        </is>
      </c>
      <c r="D84" s="14" t="inlineStr">
        <is>
          <t>ARC-RCM</t>
        </is>
      </c>
      <c r="E84" s="14" t="inlineStr">
        <is>
          <t>WearCheck</t>
        </is>
      </c>
      <c r="F84" s="14" t="inlineStr">
        <is>
          <t>Remote Centre</t>
        </is>
      </c>
      <c r="G84" s="14" t="inlineStr">
        <is>
          <t>RS</t>
        </is>
      </c>
      <c r="H84" s="14" t="inlineStr">
        <is>
          <t>ARC Reliability Specialist</t>
        </is>
      </c>
      <c r="I84" s="14" t="inlineStr">
        <is>
          <t>Andrew Robb</t>
        </is>
      </c>
      <c r="J84" s="14" t="inlineStr">
        <is>
          <t>0810132168</t>
        </is>
      </c>
      <c r="K84" s="14" t="inlineStr">
        <is>
          <t>Submitted</t>
        </is>
      </c>
    </row>
    <row r="85">
      <c r="A85" s="14" t="inlineStr">
        <is>
          <t>nadhira@wearcheckrs.com</t>
        </is>
      </c>
      <c r="B85" s="14" t="inlineStr">
        <is>
          <t>Nadhira Bux</t>
        </is>
      </c>
      <c r="C85" s="14" t="inlineStr">
        <is>
          <t>WEC113</t>
        </is>
      </c>
      <c r="D85" s="14" t="inlineStr">
        <is>
          <t>ARC-RCM</t>
        </is>
      </c>
      <c r="E85" s="14" t="inlineStr">
        <is>
          <t>GP Consult</t>
        </is>
      </c>
      <c r="F85" s="14" t="inlineStr">
        <is>
          <t>Longmeadow H/O</t>
        </is>
      </c>
      <c r="G85" s="14" t="inlineStr">
        <is>
          <t>RS</t>
        </is>
      </c>
      <c r="H85" s="14" t="inlineStr">
        <is>
          <t>Integration Co-Ordinator</t>
        </is>
      </c>
      <c r="I85" s="14" t="inlineStr">
        <is>
          <t>Louis Peacock</t>
        </is>
      </c>
      <c r="J85" s="14" t="inlineStr">
        <is>
          <t>0625831366</t>
        </is>
      </c>
      <c r="K85" s="14" t="inlineStr">
        <is>
          <t>Submitted</t>
        </is>
      </c>
    </row>
    <row r="86">
      <c r="A86" s="14" t="inlineStr">
        <is>
          <t>nico.duplessis@wearcheckrs.com</t>
        </is>
      </c>
      <c r="B86" s="14" t="inlineStr">
        <is>
          <t>Nicolaas du Plessis</t>
        </is>
      </c>
      <c r="C86" s="14" t="inlineStr">
        <is>
          <t>WC506</t>
        </is>
      </c>
      <c r="D86" s="14" t="inlineStr">
        <is>
          <t>ARC-RCA</t>
        </is>
      </c>
      <c r="E86" s="14" t="inlineStr">
        <is>
          <t>AFS</t>
        </is>
      </c>
      <c r="F86" s="14" t="inlineStr"/>
      <c r="G86" s="14" t="inlineStr">
        <is>
          <t>AFS</t>
        </is>
      </c>
      <c r="H86" s="14" t="inlineStr">
        <is>
          <t>RCA Inspector</t>
        </is>
      </c>
      <c r="I86" s="14" t="inlineStr">
        <is>
          <t>Roger Henwood</t>
        </is>
      </c>
      <c r="J86" s="14" t="inlineStr">
        <is>
          <t>0718937378</t>
        </is>
      </c>
      <c r="K86" s="14" t="inlineStr">
        <is>
          <t>Submitted</t>
        </is>
      </c>
    </row>
    <row r="87">
      <c r="A87" s="14" t="inlineStr">
        <is>
          <t>Muhamad@wearcheckRS.com</t>
        </is>
      </c>
      <c r="B87" s="14" t="inlineStr">
        <is>
          <t>Muhamad Hanif</t>
        </is>
      </c>
      <c r="C87" s="14" t="inlineStr">
        <is>
          <t>Unknown</t>
        </is>
      </c>
      <c r="D87" s="14" t="inlineStr">
        <is>
          <t>ARC-RCM</t>
        </is>
      </c>
      <c r="E87" s="14" t="inlineStr">
        <is>
          <t>WearCheck</t>
        </is>
      </c>
      <c r="F87" s="14" t="inlineStr">
        <is>
          <t>Mozambique</t>
        </is>
      </c>
      <c r="G87" s="14" t="inlineStr">
        <is>
          <t>Mozambique</t>
        </is>
      </c>
      <c r="H87" s="14" t="inlineStr">
        <is>
          <t>Reliability Technician</t>
        </is>
      </c>
      <c r="I87" s="14" t="inlineStr">
        <is>
          <t>Riaan du Plooy</t>
        </is>
      </c>
      <c r="J87" s="14" t="inlineStr">
        <is>
          <t>258878054903</t>
        </is>
      </c>
      <c r="K87" s="14" t="inlineStr">
        <is>
          <t>Submitted</t>
        </is>
      </c>
    </row>
    <row r="88">
      <c r="A88" s="14" t="inlineStr">
        <is>
          <t>lloyd@wearcheckrs.com</t>
        </is>
      </c>
      <c r="B88" s="14" t="inlineStr">
        <is>
          <t>Lloyd Ngobeni</t>
        </is>
      </c>
      <c r="C88" s="14" t="inlineStr">
        <is>
          <t>WEC099</t>
        </is>
      </c>
      <c r="D88" s="14" t="inlineStr">
        <is>
          <t>ARC-NDT</t>
        </is>
      </c>
      <c r="E88" s="14" t="inlineStr">
        <is>
          <t>GP Consult</t>
        </is>
      </c>
      <c r="F88" s="14" t="inlineStr">
        <is>
          <t>Valterra - Waterval</t>
        </is>
      </c>
      <c r="G88" s="14" t="inlineStr">
        <is>
          <t>RS</t>
        </is>
      </c>
      <c r="H88" s="14" t="inlineStr">
        <is>
          <t>Precision Maintenance Technologist</t>
        </is>
      </c>
      <c r="I88" s="14" t="inlineStr">
        <is>
          <t>Riaan de Beer</t>
        </is>
      </c>
      <c r="J88" s="14" t="inlineStr">
        <is>
          <t>0664844084</t>
        </is>
      </c>
      <c r="K88" s="14" t="inlineStr">
        <is>
          <t>Submitted</t>
        </is>
      </c>
    </row>
    <row r="89">
      <c r="A89" s="14" t="inlineStr">
        <is>
          <t>nomvulam@wearcheckrs.com</t>
        </is>
      </c>
      <c r="B89" s="14" t="inlineStr">
        <is>
          <t>Nomvula Mkhize</t>
        </is>
      </c>
      <c r="C89" s="14" t="inlineStr">
        <is>
          <t>WC651</t>
        </is>
      </c>
      <c r="D89" s="14" t="inlineStr">
        <is>
          <t>ARC-RCM</t>
        </is>
      </c>
      <c r="E89" s="14" t="inlineStr">
        <is>
          <t>WearCheck</t>
        </is>
      </c>
      <c r="F89" s="14" t="inlineStr">
        <is>
          <t>Samancor - MFC</t>
        </is>
      </c>
      <c r="G89" s="14" t="inlineStr">
        <is>
          <t>RS</t>
        </is>
      </c>
      <c r="H89" s="14" t="inlineStr">
        <is>
          <t>Precision Maintenance Technologist</t>
        </is>
      </c>
      <c r="I89" s="14" t="inlineStr">
        <is>
          <t>Peet Peacock</t>
        </is>
      </c>
      <c r="J89" s="14" t="inlineStr">
        <is>
          <t>0747023211</t>
        </is>
      </c>
      <c r="K89" s="14" t="inlineStr">
        <is>
          <t>Submitted</t>
        </is>
      </c>
    </row>
    <row r="90">
      <c r="A90" s="14" t="inlineStr">
        <is>
          <t>Landus@wearcheckrs.com</t>
        </is>
      </c>
      <c r="B90" s="14" t="inlineStr">
        <is>
          <t>Norman Landus Walters</t>
        </is>
      </c>
      <c r="C90" s="14" t="inlineStr">
        <is>
          <t>WC509</t>
        </is>
      </c>
      <c r="D90" s="14" t="inlineStr">
        <is>
          <t>ARC-TCA</t>
        </is>
      </c>
      <c r="E90" s="14" t="inlineStr">
        <is>
          <t>AFS</t>
        </is>
      </c>
      <c r="F90" s="14" t="inlineStr"/>
      <c r="G90" s="14" t="inlineStr">
        <is>
          <t>AFS</t>
        </is>
      </c>
      <c r="H90" s="14" t="inlineStr">
        <is>
          <t>Machinery Inspector</t>
        </is>
      </c>
      <c r="I90" s="14" t="inlineStr">
        <is>
          <t>Johan Stols</t>
        </is>
      </c>
      <c r="J90" s="14" t="inlineStr">
        <is>
          <t>076 385 2151</t>
        </is>
      </c>
      <c r="K90" s="14" t="inlineStr">
        <is>
          <t>Submitted</t>
        </is>
      </c>
    </row>
    <row r="91">
      <c r="A91" s="14" t="inlineStr">
        <is>
          <t>passwell@wearcheckrs.com</t>
        </is>
      </c>
      <c r="B91" s="14" t="inlineStr">
        <is>
          <t>Putaneng Paswell Mashoeu</t>
        </is>
      </c>
      <c r="C91" s="14" t="inlineStr">
        <is>
          <t>WC348</t>
        </is>
      </c>
      <c r="D91" s="14" t="inlineStr">
        <is>
          <t>ARC-RCM</t>
        </is>
      </c>
      <c r="E91" s="14" t="inlineStr">
        <is>
          <t>WearCheck</t>
        </is>
      </c>
      <c r="F91" s="14" t="inlineStr">
        <is>
          <t>Valterra - Mototolo</t>
        </is>
      </c>
      <c r="G91" s="14" t="inlineStr">
        <is>
          <t>RS</t>
        </is>
      </c>
      <c r="H91" s="14" t="inlineStr">
        <is>
          <t>Sampler</t>
        </is>
      </c>
      <c r="I91" s="14" t="inlineStr">
        <is>
          <t>Annah Modutwane</t>
        </is>
      </c>
      <c r="J91" s="14" t="inlineStr">
        <is>
          <t>06364888867</t>
        </is>
      </c>
      <c r="K91" s="14" t="inlineStr">
        <is>
          <t>Submitted</t>
        </is>
      </c>
    </row>
    <row r="92">
      <c r="A92" s="14" t="inlineStr">
        <is>
          <t>patrick@wearcheckrs.com</t>
        </is>
      </c>
      <c r="B92" s="14" t="inlineStr">
        <is>
          <t>Patrick Nel</t>
        </is>
      </c>
      <c r="C92" s="14" t="inlineStr">
        <is>
          <t>WC498</t>
        </is>
      </c>
      <c r="D92" s="14" t="inlineStr">
        <is>
          <t>ARC-NDT</t>
        </is>
      </c>
      <c r="E92" s="14" t="inlineStr">
        <is>
          <t>AFS</t>
        </is>
      </c>
      <c r="F92" s="14" t="inlineStr"/>
      <c r="G92" s="14" t="inlineStr">
        <is>
          <t>AFS</t>
        </is>
      </c>
      <c r="H92" s="14" t="inlineStr">
        <is>
          <t>Machinery Inspector</t>
        </is>
      </c>
      <c r="I92" s="14" t="inlineStr">
        <is>
          <t>Adri Ludick</t>
        </is>
      </c>
      <c r="J92" s="14" t="inlineStr">
        <is>
          <t>0723633245</t>
        </is>
      </c>
      <c r="K92" s="14" t="inlineStr">
        <is>
          <t>Submitted</t>
        </is>
      </c>
    </row>
    <row r="93">
      <c r="A93" s="14" t="inlineStr">
        <is>
          <t>Peet@wearcheckrs.com</t>
        </is>
      </c>
      <c r="B93" s="14" t="inlineStr">
        <is>
          <t>Petrus Johannes Peacock</t>
        </is>
      </c>
      <c r="C93" s="14" t="inlineStr">
        <is>
          <t>WC520</t>
        </is>
      </c>
      <c r="D93" s="14" t="inlineStr">
        <is>
          <t>ARC-RCM</t>
        </is>
      </c>
      <c r="E93" s="14" t="inlineStr">
        <is>
          <t>WearCheck</t>
        </is>
      </c>
      <c r="F93" s="14" t="inlineStr"/>
      <c r="G93" s="14" t="inlineStr">
        <is>
          <t>RS</t>
        </is>
      </c>
      <c r="H93" s="14" t="inlineStr">
        <is>
          <t>Service Manager</t>
        </is>
      </c>
      <c r="I93" s="14" t="inlineStr">
        <is>
          <t>Annemie Willer</t>
        </is>
      </c>
      <c r="J93" s="14" t="inlineStr">
        <is>
          <t>0716700710</t>
        </is>
      </c>
      <c r="K93" s="14" t="inlineStr">
        <is>
          <t>Submitted</t>
        </is>
      </c>
    </row>
    <row r="94">
      <c r="A94" s="14" t="inlineStr">
        <is>
          <t>percy@wearcheckrs.com</t>
        </is>
      </c>
      <c r="B94" s="14" t="inlineStr">
        <is>
          <t>Percy Hall</t>
        </is>
      </c>
      <c r="C94" s="14" t="inlineStr">
        <is>
          <t>WEC115</t>
        </is>
      </c>
      <c r="D94" s="14" t="inlineStr">
        <is>
          <t>ARC-RCM</t>
        </is>
      </c>
      <c r="E94" s="14" t="inlineStr">
        <is>
          <t>GP Consult</t>
        </is>
      </c>
      <c r="F94" s="14" t="inlineStr">
        <is>
          <t>Seriti - Khutala</t>
        </is>
      </c>
      <c r="G94" s="14" t="inlineStr">
        <is>
          <t>RS</t>
        </is>
      </c>
      <c r="H94" s="14" t="inlineStr">
        <is>
          <t>Reliability Technologist</t>
        </is>
      </c>
      <c r="I94" s="14" t="inlineStr">
        <is>
          <t>Londolani Managa</t>
        </is>
      </c>
      <c r="J94" s="14" t="inlineStr">
        <is>
          <t>0826828862 / 0827307344</t>
        </is>
      </c>
      <c r="K94" s="14" t="inlineStr">
        <is>
          <t>Submitted</t>
        </is>
      </c>
    </row>
    <row r="95">
      <c r="A95" s="14" t="inlineStr">
        <is>
          <t>permission@wearcheckrs.com</t>
        </is>
      </c>
      <c r="B95" s="14" t="inlineStr">
        <is>
          <t>Katishi Permission Malele</t>
        </is>
      </c>
      <c r="C95" s="14" t="inlineStr">
        <is>
          <t>WC393</t>
        </is>
      </c>
      <c r="D95" s="14" t="inlineStr">
        <is>
          <t>ARC-RCM</t>
        </is>
      </c>
      <c r="E95" s="14" t="inlineStr">
        <is>
          <t>WearCheck</t>
        </is>
      </c>
      <c r="F95" s="14" t="inlineStr">
        <is>
          <t>Valterra - Mototolo</t>
        </is>
      </c>
      <c r="G95" s="14" t="inlineStr">
        <is>
          <t>RS</t>
        </is>
      </c>
      <c r="H95" s="14" t="inlineStr">
        <is>
          <t>Sampler</t>
        </is>
      </c>
      <c r="I95" s="14" t="inlineStr">
        <is>
          <t>Annah Modutwane</t>
        </is>
      </c>
      <c r="J95" s="14" t="inlineStr">
        <is>
          <t>606314865</t>
        </is>
      </c>
      <c r="K95" s="14" t="inlineStr">
        <is>
          <t>Submitted</t>
        </is>
      </c>
    </row>
    <row r="96">
      <c r="A96" s="14" t="inlineStr">
        <is>
          <t>N/A</t>
        </is>
      </c>
      <c r="B96" s="14" t="inlineStr">
        <is>
          <t>Peter Ivo Mateus Mahlangu</t>
        </is>
      </c>
      <c r="C96" s="14" t="inlineStr"/>
      <c r="D96" s="14" t="inlineStr">
        <is>
          <t>ARC-RCM</t>
        </is>
      </c>
      <c r="E96" s="14" t="inlineStr">
        <is>
          <t>WearCheck</t>
        </is>
      </c>
      <c r="F96" s="14" t="inlineStr">
        <is>
          <t>Mozambique</t>
        </is>
      </c>
      <c r="G96" s="14" t="inlineStr">
        <is>
          <t>Mozambique</t>
        </is>
      </c>
      <c r="H96" s="14" t="inlineStr">
        <is>
          <t>Senior Technician</t>
        </is>
      </c>
      <c r="I96" s="14" t="inlineStr">
        <is>
          <t>Riaan du Plooy</t>
        </is>
      </c>
      <c r="J96" s="14" t="inlineStr">
        <is>
          <t>258842628215</t>
        </is>
      </c>
      <c r="K96" s="14" t="inlineStr">
        <is>
          <t>Submitted</t>
        </is>
      </c>
    </row>
    <row r="97">
      <c r="A97" s="14" t="inlineStr">
        <is>
          <t>philip@wearcheckrs.com</t>
        </is>
      </c>
      <c r="B97" s="14" t="inlineStr">
        <is>
          <t>Philippus Jacobus Wilhelmus (Philip) Schutte</t>
        </is>
      </c>
      <c r="C97" s="14" t="inlineStr">
        <is>
          <t>WC253</t>
        </is>
      </c>
      <c r="D97" s="14" t="inlineStr">
        <is>
          <t>ARC-RCM</t>
        </is>
      </c>
      <c r="E97" s="14" t="inlineStr">
        <is>
          <t>WearCheck</t>
        </is>
      </c>
      <c r="F97" s="14" t="inlineStr">
        <is>
          <t>Longmeadow H/O</t>
        </is>
      </c>
      <c r="G97" s="14" t="inlineStr">
        <is>
          <t>RS</t>
        </is>
      </c>
      <c r="H97" s="14" t="inlineStr">
        <is>
          <t>General Manager</t>
        </is>
      </c>
      <c r="I97" s="14" t="inlineStr">
        <is>
          <t>N/A</t>
        </is>
      </c>
      <c r="J97" s="14" t="inlineStr">
        <is>
          <t>0769829774</t>
        </is>
      </c>
      <c r="K97" s="14" t="inlineStr">
        <is>
          <t>Incomplete</t>
        </is>
      </c>
    </row>
    <row r="98">
      <c r="A98" s="14" t="inlineStr">
        <is>
          <t>Placido@wearcheckrs.com</t>
        </is>
      </c>
      <c r="B98" s="14" t="inlineStr">
        <is>
          <t>Placido  Maculuve</t>
        </is>
      </c>
      <c r="C98" s="14" t="inlineStr">
        <is>
          <t>Unknown</t>
        </is>
      </c>
      <c r="D98" s="14" t="inlineStr">
        <is>
          <t>ARC-RCM</t>
        </is>
      </c>
      <c r="E98" s="14" t="inlineStr">
        <is>
          <t>WearCheck</t>
        </is>
      </c>
      <c r="F98" s="14" t="inlineStr">
        <is>
          <t>Mozambique</t>
        </is>
      </c>
      <c r="G98" s="14" t="inlineStr">
        <is>
          <t>Mozambique</t>
        </is>
      </c>
      <c r="H98" s="14" t="inlineStr">
        <is>
          <t>Senior Technician</t>
        </is>
      </c>
      <c r="I98" s="14" t="inlineStr">
        <is>
          <t>Riaan du Plooy</t>
        </is>
      </c>
      <c r="J98" s="14" t="inlineStr">
        <is>
          <t>258845070300</t>
        </is>
      </c>
      <c r="K98" s="14" t="inlineStr">
        <is>
          <t>Submitted</t>
        </is>
      </c>
    </row>
    <row r="99">
      <c r="A99" s="14" t="inlineStr">
        <is>
          <t>reinierk@wearcheckrs.com</t>
        </is>
      </c>
      <c r="B99" s="14" t="inlineStr">
        <is>
          <t>Reinier Kalp</t>
        </is>
      </c>
      <c r="C99" s="14" t="inlineStr">
        <is>
          <t>WC382</t>
        </is>
      </c>
      <c r="D99" s="14" t="inlineStr">
        <is>
          <t>ARC-RCM</t>
        </is>
      </c>
      <c r="E99" s="14" t="inlineStr">
        <is>
          <t>WearCheck</t>
        </is>
      </c>
      <c r="F99" s="14" t="inlineStr">
        <is>
          <t>Remote Centre</t>
        </is>
      </c>
      <c r="G99" s="14" t="inlineStr">
        <is>
          <t>RS</t>
        </is>
      </c>
      <c r="H99" s="14" t="inlineStr">
        <is>
          <t>Remote Center Analyst</t>
        </is>
      </c>
      <c r="I99" s="14" t="inlineStr">
        <is>
          <t>Andrew Robb</t>
        </is>
      </c>
      <c r="J99" s="14" t="inlineStr">
        <is>
          <t>0810132176</t>
        </is>
      </c>
      <c r="K99" s="14" t="inlineStr">
        <is>
          <t>Submitted</t>
        </is>
      </c>
    </row>
    <row r="100">
      <c r="A100" s="14" t="inlineStr">
        <is>
          <t>Riaandp@wearcheckRS.com</t>
        </is>
      </c>
      <c r="B100" s="14" t="inlineStr">
        <is>
          <t>Adriaan Johannes du Plooy</t>
        </is>
      </c>
      <c r="C100" s="14" t="inlineStr">
        <is>
          <t>WC591</t>
        </is>
      </c>
      <c r="D100" s="14" t="inlineStr">
        <is>
          <t>ARC-RCM</t>
        </is>
      </c>
      <c r="E100" s="14" t="inlineStr">
        <is>
          <t>WearCheck</t>
        </is>
      </c>
      <c r="F100" s="14" t="inlineStr">
        <is>
          <t>Mozambique</t>
        </is>
      </c>
      <c r="G100" s="14" t="inlineStr">
        <is>
          <t>Mozambique</t>
        </is>
      </c>
      <c r="H100" s="14" t="inlineStr">
        <is>
          <t>Country Manager</t>
        </is>
      </c>
      <c r="I100" s="14" t="inlineStr">
        <is>
          <t>Jaco Willer</t>
        </is>
      </c>
      <c r="J100" s="14" t="inlineStr">
        <is>
          <t>0835965562</t>
        </is>
      </c>
      <c r="K100" s="14" t="inlineStr">
        <is>
          <t>Submitted</t>
        </is>
      </c>
    </row>
    <row r="101">
      <c r="A101" s="14" t="inlineStr">
        <is>
          <t>riaandb@wearcheckrs.com</t>
        </is>
      </c>
      <c r="B101" s="14" t="inlineStr">
        <is>
          <t>Riaan de Beer</t>
        </is>
      </c>
      <c r="C101" s="14" t="inlineStr">
        <is>
          <t>WC363</t>
        </is>
      </c>
      <c r="D101" s="14" t="inlineStr">
        <is>
          <t>ARC-RCM</t>
        </is>
      </c>
      <c r="E101" s="14" t="inlineStr">
        <is>
          <t>WearCheck</t>
        </is>
      </c>
      <c r="F101" s="14" t="inlineStr">
        <is>
          <t>Valterra - Waterval</t>
        </is>
      </c>
      <c r="G101" s="14" t="inlineStr">
        <is>
          <t>RS</t>
        </is>
      </c>
      <c r="H101" s="14" t="inlineStr">
        <is>
          <t>Supervisor</t>
        </is>
      </c>
      <c r="I101" s="14" t="inlineStr">
        <is>
          <t>Peet Peacock</t>
        </is>
      </c>
      <c r="J101" s="14" t="inlineStr">
        <is>
          <t>0745880347</t>
        </is>
      </c>
      <c r="K101" s="14" t="inlineStr">
        <is>
          <t>Submitted</t>
        </is>
      </c>
    </row>
    <row r="102">
      <c r="A102" s="14" t="inlineStr">
        <is>
          <t>rogerh@wearcheckrs.com</t>
        </is>
      </c>
      <c r="B102" s="14" t="inlineStr">
        <is>
          <t>Roger Henwood</t>
        </is>
      </c>
      <c r="C102" s="14" t="inlineStr">
        <is>
          <t>WC504</t>
        </is>
      </c>
      <c r="D102" s="14" t="inlineStr">
        <is>
          <t>ARC-RCA</t>
        </is>
      </c>
      <c r="E102" s="14" t="inlineStr">
        <is>
          <t>AFS</t>
        </is>
      </c>
      <c r="F102" s="14" t="inlineStr"/>
      <c r="G102" s="14" t="inlineStr">
        <is>
          <t>AFS</t>
        </is>
      </c>
      <c r="H102" s="14" t="inlineStr">
        <is>
          <t>RCA Operations Manager</t>
        </is>
      </c>
      <c r="I102" s="14" t="inlineStr">
        <is>
          <t>Philip Schutte</t>
        </is>
      </c>
      <c r="J102" s="14" t="inlineStr">
        <is>
          <t>0834465155</t>
        </is>
      </c>
      <c r="K102" s="14" t="inlineStr">
        <is>
          <t>Submitted</t>
        </is>
      </c>
    </row>
    <row r="103">
      <c r="A103" s="14" t="inlineStr">
        <is>
          <t>rakcal@wearcheckrs.com</t>
        </is>
      </c>
      <c r="B103" s="14" t="inlineStr">
        <is>
          <t>Rakcal Monroe  Balaram</t>
        </is>
      </c>
      <c r="C103" s="14" t="inlineStr">
        <is>
          <t>WEC074</t>
        </is>
      </c>
      <c r="D103" s="14" t="inlineStr">
        <is>
          <t>ARC-RCM</t>
        </is>
      </c>
      <c r="E103" s="14" t="inlineStr">
        <is>
          <t>GP Consult</t>
        </is>
      </c>
      <c r="F103" s="14" t="inlineStr">
        <is>
          <t>KwaZulu Natal - Tronox</t>
        </is>
      </c>
      <c r="G103" s="14" t="inlineStr">
        <is>
          <t>RS</t>
        </is>
      </c>
      <c r="H103" s="14" t="inlineStr">
        <is>
          <t>Reliability Technologist</t>
        </is>
      </c>
      <c r="I103" s="14" t="inlineStr">
        <is>
          <t>Francois Pienaar</t>
        </is>
      </c>
      <c r="J103" s="14" t="inlineStr">
        <is>
          <t>0749705467</t>
        </is>
      </c>
      <c r="K103" s="14" t="inlineStr">
        <is>
          <t>Submitted</t>
        </is>
      </c>
    </row>
    <row r="104">
      <c r="A104" s="14" t="inlineStr">
        <is>
          <t>rohan@wearcheckrs.com</t>
        </is>
      </c>
      <c r="B104" s="14" t="inlineStr">
        <is>
          <t>Hermanus Johannes Willer</t>
        </is>
      </c>
      <c r="C104" s="14" t="inlineStr">
        <is>
          <t>WC381</t>
        </is>
      </c>
      <c r="D104" s="14" t="inlineStr">
        <is>
          <t>ARC-RCM</t>
        </is>
      </c>
      <c r="E104" s="14" t="inlineStr">
        <is>
          <t>WearCheck</t>
        </is>
      </c>
      <c r="F104" s="14" t="inlineStr">
        <is>
          <t>Namibia</t>
        </is>
      </c>
      <c r="G104" s="14" t="inlineStr">
        <is>
          <t>Namibia</t>
        </is>
      </c>
      <c r="H104" s="14" t="inlineStr">
        <is>
          <t>Site Manager</t>
        </is>
      </c>
      <c r="I104" s="14" t="inlineStr">
        <is>
          <t>Jaco Willer</t>
        </is>
      </c>
      <c r="J104" s="14" t="inlineStr">
        <is>
          <t>0812165890</t>
        </is>
      </c>
      <c r="K104" s="14" t="inlineStr">
        <is>
          <t>Submitted</t>
        </is>
      </c>
    </row>
    <row r="105">
      <c r="A105" s="14" t="inlineStr">
        <is>
          <t>rynhardt@wearcheckrs.com</t>
        </is>
      </c>
      <c r="B105" s="14" t="inlineStr">
        <is>
          <t>Rynhardt Meyer</t>
        </is>
      </c>
      <c r="C105" s="14" t="inlineStr">
        <is>
          <t>WEC096</t>
        </is>
      </c>
      <c r="D105" s="14" t="inlineStr">
        <is>
          <t>ARC-NDT</t>
        </is>
      </c>
      <c r="E105" s="14" t="inlineStr">
        <is>
          <t>GP Consult</t>
        </is>
      </c>
      <c r="F105" s="14" t="inlineStr">
        <is>
          <t>Valterra - Waterval</t>
        </is>
      </c>
      <c r="G105" s="14" t="inlineStr">
        <is>
          <t>RS</t>
        </is>
      </c>
      <c r="H105" s="14" t="inlineStr">
        <is>
          <t>Precision Maintenance Technologist</t>
        </is>
      </c>
      <c r="I105" s="14" t="inlineStr">
        <is>
          <t>Riaan de Beer</t>
        </is>
      </c>
      <c r="J105" s="14" t="inlineStr">
        <is>
          <t>0649557747</t>
        </is>
      </c>
      <c r="K105" s="14" t="inlineStr">
        <is>
          <t>Submitted</t>
        </is>
      </c>
    </row>
    <row r="106">
      <c r="A106" s="14" t="inlineStr">
        <is>
          <t>rynhardt.smit@wearcheckrs.com</t>
        </is>
      </c>
      <c r="B106" s="14" t="inlineStr">
        <is>
          <t>Rynhardt Smit</t>
        </is>
      </c>
      <c r="C106" s="14" t="inlineStr">
        <is>
          <t>WC501</t>
        </is>
      </c>
      <c r="D106" s="14" t="inlineStr">
        <is>
          <t>ARC-RCA</t>
        </is>
      </c>
      <c r="E106" s="14" t="inlineStr">
        <is>
          <t>AFS</t>
        </is>
      </c>
      <c r="F106" s="14" t="inlineStr"/>
      <c r="G106" s="14" t="inlineStr">
        <is>
          <t>AFS</t>
        </is>
      </c>
      <c r="H106" s="14" t="inlineStr">
        <is>
          <t>RCA Inspector</t>
        </is>
      </c>
      <c r="I106" s="14" t="inlineStr">
        <is>
          <t>Roger Henwood</t>
        </is>
      </c>
      <c r="J106" s="14" t="inlineStr">
        <is>
          <t>0833081601</t>
        </is>
      </c>
      <c r="K106" s="14" t="inlineStr">
        <is>
          <t>Submitted</t>
        </is>
      </c>
    </row>
    <row r="107">
      <c r="A107" s="14" t="inlineStr">
        <is>
          <t>sergent@wearcheckrs.com</t>
        </is>
      </c>
      <c r="B107" s="14" t="inlineStr">
        <is>
          <t>Sergant Sakhile Tlou</t>
        </is>
      </c>
      <c r="C107" s="14" t="inlineStr">
        <is>
          <t>WC264</t>
        </is>
      </c>
      <c r="D107" s="14" t="inlineStr">
        <is>
          <t>ARC-RCM</t>
        </is>
      </c>
      <c r="E107" s="14" t="inlineStr">
        <is>
          <t>Wearcheck</t>
        </is>
      </c>
      <c r="F107" s="14" t="inlineStr">
        <is>
          <t>Roamer</t>
        </is>
      </c>
      <c r="G107" s="14" t="inlineStr">
        <is>
          <t>RS</t>
        </is>
      </c>
      <c r="H107" s="14" t="inlineStr">
        <is>
          <t>Reliability Technologist</t>
        </is>
      </c>
      <c r="I107" s="14" t="inlineStr">
        <is>
          <t>Eben Prinsloo</t>
        </is>
      </c>
      <c r="J107" s="14" t="inlineStr">
        <is>
          <t>0828827758</t>
        </is>
      </c>
      <c r="K107" s="14" t="inlineStr">
        <is>
          <t>Submitted</t>
        </is>
      </c>
    </row>
    <row r="108">
      <c r="A108" s="14" t="inlineStr">
        <is>
          <t>shaun@wearcheckrs.com</t>
        </is>
      </c>
      <c r="B108" s="14" t="inlineStr">
        <is>
          <t>Shaun Janse van Rensburg</t>
        </is>
      </c>
      <c r="C108" s="14" t="inlineStr">
        <is>
          <t>WEC136</t>
        </is>
      </c>
      <c r="D108" s="14" t="inlineStr">
        <is>
          <t>ARC-TCA</t>
        </is>
      </c>
      <c r="E108" s="14" t="inlineStr">
        <is>
          <t>GP Consult</t>
        </is>
      </c>
      <c r="F108" s="14" t="inlineStr"/>
      <c r="G108" s="14" t="inlineStr">
        <is>
          <t>RS</t>
        </is>
      </c>
      <c r="H108" s="14" t="inlineStr">
        <is>
          <t>Machinery Inspector</t>
        </is>
      </c>
      <c r="I108" s="14" t="inlineStr">
        <is>
          <t>Johan Stols</t>
        </is>
      </c>
      <c r="J108" s="14" t="inlineStr">
        <is>
          <t>082 497 1146</t>
        </is>
      </c>
      <c r="K108" s="14" t="inlineStr">
        <is>
          <t>Submitted</t>
        </is>
      </c>
    </row>
    <row r="109">
      <c r="A109" s="14" t="inlineStr">
        <is>
          <t>shivon@wearcheckrs.com</t>
        </is>
      </c>
      <c r="B109" s="14" t="inlineStr">
        <is>
          <t>Shivon Chantelle Alberts</t>
        </is>
      </c>
      <c r="C109" s="14" t="inlineStr">
        <is>
          <t>WEC130</t>
        </is>
      </c>
      <c r="D109" s="14" t="inlineStr">
        <is>
          <t>ARC-RCM</t>
        </is>
      </c>
      <c r="E109" s="14" t="inlineStr">
        <is>
          <t>GP Consult</t>
        </is>
      </c>
      <c r="F109" s="14" t="inlineStr">
        <is>
          <t>Longmeadow H/O</t>
        </is>
      </c>
      <c r="G109" s="14" t="inlineStr">
        <is>
          <t>RS</t>
        </is>
      </c>
      <c r="H109" s="14" t="inlineStr">
        <is>
          <t>Financial Manager</t>
        </is>
      </c>
      <c r="I109" s="14" t="inlineStr">
        <is>
          <t>Megan Salzwedel</t>
        </is>
      </c>
      <c r="J109" s="14" t="inlineStr">
        <is>
          <t>0793152710</t>
        </is>
      </c>
      <c r="K109" s="14" t="inlineStr">
        <is>
          <t>Submitted</t>
        </is>
      </c>
    </row>
    <row r="110">
      <c r="A110" s="14" t="inlineStr">
        <is>
          <t>simon@wearcheckrs.com</t>
        </is>
      </c>
      <c r="B110" s="14" t="inlineStr">
        <is>
          <t>Mokale Simon Mosima</t>
        </is>
      </c>
      <c r="C110" s="14" t="inlineStr">
        <is>
          <t>WC283</t>
        </is>
      </c>
      <c r="D110" s="14" t="inlineStr">
        <is>
          <t>ARC-RCM</t>
        </is>
      </c>
      <c r="E110" s="14" t="inlineStr">
        <is>
          <t>WearCheck</t>
        </is>
      </c>
      <c r="F110" s="14" t="inlineStr">
        <is>
          <t>Eskom - Matimba</t>
        </is>
      </c>
      <c r="G110" s="14" t="inlineStr">
        <is>
          <t>RS</t>
        </is>
      </c>
      <c r="H110" s="14" t="inlineStr">
        <is>
          <t>Reliability Technician</t>
        </is>
      </c>
      <c r="I110" s="14" t="inlineStr">
        <is>
          <t>Tsietsi Monnanyne</t>
        </is>
      </c>
      <c r="J110" s="14" t="inlineStr">
        <is>
          <t>0784570962</t>
        </is>
      </c>
      <c r="K110" s="14" t="inlineStr">
        <is>
          <t>Submitted</t>
        </is>
      </c>
    </row>
    <row r="111">
      <c r="A111" s="14" t="inlineStr">
        <is>
          <t>simondifutso@WearCheckRS.com</t>
        </is>
      </c>
      <c r="B111" s="14" t="inlineStr">
        <is>
          <t>Simon Petrus Difutso</t>
        </is>
      </c>
      <c r="C111" s="14" t="inlineStr">
        <is>
          <t>WC485</t>
        </is>
      </c>
      <c r="D111" s="14" t="inlineStr">
        <is>
          <t>ARC-NDT</t>
        </is>
      </c>
      <c r="E111" s="14" t="inlineStr">
        <is>
          <t>AFS</t>
        </is>
      </c>
      <c r="F111" s="14" t="inlineStr"/>
      <c r="G111" s="14" t="inlineStr">
        <is>
          <t>AFS</t>
        </is>
      </c>
      <c r="H111" s="14" t="inlineStr">
        <is>
          <t>AMM Junior Management</t>
        </is>
      </c>
      <c r="I111" s="14" t="inlineStr">
        <is>
          <t>Adri Ludick</t>
        </is>
      </c>
      <c r="J111" s="14" t="inlineStr">
        <is>
          <t>0838541915</t>
        </is>
      </c>
      <c r="K111" s="14" t="inlineStr">
        <is>
          <t>Submitted</t>
        </is>
      </c>
    </row>
    <row r="112">
      <c r="A112" s="14" t="inlineStr">
        <is>
          <t>siphoz@wearcheckrs.com</t>
        </is>
      </c>
      <c r="B112" s="14" t="inlineStr">
        <is>
          <t>Sipho Petros Zwane</t>
        </is>
      </c>
      <c r="C112" s="14" t="inlineStr">
        <is>
          <t>WC360</t>
        </is>
      </c>
      <c r="D112" s="14" t="inlineStr">
        <is>
          <t>ARC-RCM</t>
        </is>
      </c>
      <c r="E112" s="14" t="inlineStr">
        <is>
          <t>GP Consult</t>
        </is>
      </c>
      <c r="F112" s="14" t="inlineStr">
        <is>
          <t>KwaZulu Natal - Hillside</t>
        </is>
      </c>
      <c r="G112" s="14" t="inlineStr">
        <is>
          <t>RS</t>
        </is>
      </c>
      <c r="H112" s="14" t="inlineStr">
        <is>
          <t>Reliability Analyst</t>
        </is>
      </c>
      <c r="I112" s="14" t="inlineStr">
        <is>
          <t>Francois Pienaar</t>
        </is>
      </c>
      <c r="J112" s="14" t="inlineStr">
        <is>
          <t>0839286268</t>
        </is>
      </c>
      <c r="K112" s="14" t="inlineStr">
        <is>
          <t>Submitted</t>
        </is>
      </c>
    </row>
    <row r="113">
      <c r="A113" s="14" t="inlineStr">
        <is>
          <t>siphom@wearcheckrs.com</t>
        </is>
      </c>
      <c r="B113" s="14" t="inlineStr">
        <is>
          <t>Sipho Petros Mathibela</t>
        </is>
      </c>
      <c r="C113" s="14" t="inlineStr">
        <is>
          <t>WEC039</t>
        </is>
      </c>
      <c r="D113" s="14" t="inlineStr">
        <is>
          <t>ARC-RCM</t>
        </is>
      </c>
      <c r="E113" s="14" t="inlineStr">
        <is>
          <t>GP Consult</t>
        </is>
      </c>
      <c r="F113" s="14" t="inlineStr">
        <is>
          <t>Samancor - MFC</t>
        </is>
      </c>
      <c r="G113" s="14" t="inlineStr">
        <is>
          <t>RS</t>
        </is>
      </c>
      <c r="H113" s="14" t="inlineStr">
        <is>
          <t>Reliability Technician</t>
        </is>
      </c>
      <c r="I113" s="14" t="inlineStr">
        <is>
          <t>Londolani Managa</t>
        </is>
      </c>
      <c r="J113" s="14" t="inlineStr">
        <is>
          <t>0795568398</t>
        </is>
      </c>
      <c r="K113" s="14" t="inlineStr">
        <is>
          <t>Submitted</t>
        </is>
      </c>
    </row>
    <row r="114">
      <c r="A114" s="14" t="inlineStr">
        <is>
          <t>teresa.venter@wearcheckRS.com</t>
        </is>
      </c>
      <c r="B114" s="14" t="inlineStr">
        <is>
          <t>Teresa Venter</t>
        </is>
      </c>
      <c r="C114" s="14" t="inlineStr">
        <is>
          <t>WC487</t>
        </is>
      </c>
      <c r="D114" s="14" t="inlineStr">
        <is>
          <t>AFS</t>
        </is>
      </c>
      <c r="E114" s="14" t="inlineStr">
        <is>
          <t>AFS</t>
        </is>
      </c>
      <c r="F114" s="14" t="inlineStr"/>
      <c r="G114" s="14" t="inlineStr">
        <is>
          <t>AFS</t>
        </is>
      </c>
      <c r="H114" s="14" t="inlineStr">
        <is>
          <t>Administration Assistant</t>
        </is>
      </c>
      <c r="I114" s="14" t="inlineStr">
        <is>
          <t>Adri Ludick</t>
        </is>
      </c>
      <c r="J114" s="14" t="inlineStr">
        <is>
          <t>0662916929</t>
        </is>
      </c>
      <c r="K114" s="14" t="inlineStr">
        <is>
          <t>Submitted</t>
        </is>
      </c>
    </row>
    <row r="115">
      <c r="A115" s="14" t="inlineStr">
        <is>
          <t>Thapelo@wearCheckRS.com</t>
        </is>
      </c>
      <c r="B115" s="14" t="inlineStr">
        <is>
          <t>Thapelo Pebetsi Mohlala</t>
        </is>
      </c>
      <c r="C115" s="14" t="inlineStr">
        <is>
          <t>WEC132</t>
        </is>
      </c>
      <c r="D115" s="14" t="inlineStr">
        <is>
          <t>ARC-RCM</t>
        </is>
      </c>
      <c r="E115" s="14" t="inlineStr">
        <is>
          <t>GP Consult</t>
        </is>
      </c>
      <c r="F115" s="14" t="inlineStr">
        <is>
          <t>Samancor Tweefontein / Samancor Doornbosch</t>
        </is>
      </c>
      <c r="G115" s="14" t="inlineStr">
        <is>
          <t>RS</t>
        </is>
      </c>
      <c r="H115" s="14" t="inlineStr">
        <is>
          <t>Reliability Technologist Trainee</t>
        </is>
      </c>
      <c r="I115" s="14" t="inlineStr">
        <is>
          <t>Allan Stuurman / Lubby Lubis</t>
        </is>
      </c>
      <c r="J115" s="14" t="inlineStr">
        <is>
          <t>0670222911</t>
        </is>
      </c>
      <c r="K115" s="14" t="inlineStr">
        <is>
          <t>Submitted</t>
        </is>
      </c>
    </row>
    <row r="116">
      <c r="A116" s="14" t="inlineStr">
        <is>
          <t>Thomas@wearcheckrs.com</t>
        </is>
      </c>
      <c r="B116" s="14" t="inlineStr">
        <is>
          <t>Thomas Mdhlala</t>
        </is>
      </c>
      <c r="C116" s="14" t="inlineStr">
        <is>
          <t>WC243</t>
        </is>
      </c>
      <c r="D116" s="14" t="inlineStr">
        <is>
          <t>ARC-RCM</t>
        </is>
      </c>
      <c r="E116" s="14" t="inlineStr">
        <is>
          <t>WearCheck</t>
        </is>
      </c>
      <c r="F116" s="14" t="inlineStr">
        <is>
          <t>PMR</t>
        </is>
      </c>
      <c r="G116" s="14" t="inlineStr">
        <is>
          <t>RS</t>
        </is>
      </c>
      <c r="H116" s="14" t="inlineStr">
        <is>
          <t>Reliability Technologist</t>
        </is>
      </c>
      <c r="I116" s="14" t="inlineStr">
        <is>
          <t>Michael Preotrius</t>
        </is>
      </c>
      <c r="J116" s="14" t="inlineStr">
        <is>
          <t>0783146873</t>
        </is>
      </c>
      <c r="K116" s="14" t="inlineStr">
        <is>
          <t>Submitted</t>
        </is>
      </c>
    </row>
    <row r="117">
      <c r="A117" s="14" t="inlineStr">
        <is>
          <t>thulani@wearcheckrs.com</t>
        </is>
      </c>
      <c r="B117" s="14" t="inlineStr">
        <is>
          <t>Thulani Tembe</t>
        </is>
      </c>
      <c r="C117" s="14" t="inlineStr">
        <is>
          <t>WEC062</t>
        </is>
      </c>
      <c r="D117" s="14" t="inlineStr">
        <is>
          <t>ARC-RCM</t>
        </is>
      </c>
      <c r="E117" s="14" t="inlineStr">
        <is>
          <t>GP Consult</t>
        </is>
      </c>
      <c r="F117" s="14" t="inlineStr">
        <is>
          <t>Samancor - Millcell</t>
        </is>
      </c>
      <c r="G117" s="14" t="inlineStr">
        <is>
          <t>RS</t>
        </is>
      </c>
      <c r="H117" s="14" t="inlineStr">
        <is>
          <t>Precision Maintenance Technologist</t>
        </is>
      </c>
      <c r="I117" s="14" t="inlineStr">
        <is>
          <t>Peet Peacock</t>
        </is>
      </c>
      <c r="J117" s="14" t="inlineStr">
        <is>
          <t>0661753959</t>
        </is>
      </c>
      <c r="K117" s="14" t="inlineStr">
        <is>
          <t>Submitted</t>
        </is>
      </c>
    </row>
    <row r="118">
      <c r="A118" s="14" t="inlineStr">
        <is>
          <t>tonny@wearcheckrs.com</t>
        </is>
      </c>
      <c r="B118" s="14" t="inlineStr">
        <is>
          <t>Tonny Simelani</t>
        </is>
      </c>
      <c r="C118" s="14" t="inlineStr">
        <is>
          <t>WEC057</t>
        </is>
      </c>
      <c r="D118" s="14" t="inlineStr">
        <is>
          <t>ARC-RCM</t>
        </is>
      </c>
      <c r="E118" s="14" t="inlineStr">
        <is>
          <t>GP Consult</t>
        </is>
      </c>
      <c r="F118" s="14" t="inlineStr">
        <is>
          <t>Springs</t>
        </is>
      </c>
      <c r="G118" s="14" t="inlineStr">
        <is>
          <t>RS</t>
        </is>
      </c>
      <c r="H118" s="14" t="inlineStr">
        <is>
          <t>Reliability Technologist</t>
        </is>
      </c>
      <c r="I118" s="14" t="inlineStr">
        <is>
          <t>Eddie Pieterse Snr</t>
        </is>
      </c>
      <c r="J118" s="14" t="inlineStr">
        <is>
          <t>0715340167</t>
        </is>
      </c>
      <c r="K118" s="14" t="inlineStr">
        <is>
          <t>Submitted</t>
        </is>
      </c>
    </row>
    <row r="119">
      <c r="A119" s="14" t="inlineStr">
        <is>
          <t>tsietsi@wearcheckrs.com</t>
        </is>
      </c>
      <c r="B119" s="14" t="inlineStr">
        <is>
          <t>Tsietsi Petric Monnanyane</t>
        </is>
      </c>
      <c r="C119" s="14" t="inlineStr">
        <is>
          <t>WEC133</t>
        </is>
      </c>
      <c r="D119" s="14" t="inlineStr">
        <is>
          <t>ARC-RCM</t>
        </is>
      </c>
      <c r="E119" s="14" t="inlineStr">
        <is>
          <t>GP Consult</t>
        </is>
      </c>
      <c r="F119" s="14" t="inlineStr">
        <is>
          <t>Eskom - Matimba</t>
        </is>
      </c>
      <c r="G119" s="14" t="inlineStr">
        <is>
          <t>RS</t>
        </is>
      </c>
      <c r="H119" s="14" t="inlineStr">
        <is>
          <t>Precision Maintenance Technologist</t>
        </is>
      </c>
      <c r="I119" s="14" t="inlineStr">
        <is>
          <t>Peet Peacock</t>
        </is>
      </c>
      <c r="J119" s="14" t="inlineStr">
        <is>
          <t>0630018652</t>
        </is>
      </c>
      <c r="K119" s="14" t="inlineStr">
        <is>
          <t>Submitted</t>
        </is>
      </c>
    </row>
    <row r="120">
      <c r="A120" s="14" t="inlineStr">
        <is>
          <t>vernon@wearcheckrs.com</t>
        </is>
      </c>
      <c r="B120" s="14" t="inlineStr">
        <is>
          <t>Vernon Calvert</t>
        </is>
      </c>
      <c r="C120" s="14" t="inlineStr">
        <is>
          <t>WEC124</t>
        </is>
      </c>
      <c r="D120" s="14" t="inlineStr">
        <is>
          <t>ARC-RCM</t>
        </is>
      </c>
      <c r="E120" s="14" t="inlineStr">
        <is>
          <t>GP Consult</t>
        </is>
      </c>
      <c r="F120" s="14" t="inlineStr">
        <is>
          <t>Valterra - Waterval</t>
        </is>
      </c>
      <c r="G120" s="14" t="inlineStr">
        <is>
          <t>RS</t>
        </is>
      </c>
      <c r="H120" s="14" t="inlineStr">
        <is>
          <t>Reliability Technician</t>
        </is>
      </c>
      <c r="I120" s="14" t="inlineStr">
        <is>
          <t>Riaan de Beer</t>
        </is>
      </c>
      <c r="J120" s="14" t="inlineStr">
        <is>
          <t>0714947499</t>
        </is>
      </c>
      <c r="K120" s="14" t="inlineStr">
        <is>
          <t>Submitted</t>
        </is>
      </c>
    </row>
    <row r="121">
      <c r="A121" s="14" t="inlineStr">
        <is>
          <t>wihan@wearcheckRS.com</t>
        </is>
      </c>
      <c r="B121" s="14" t="inlineStr">
        <is>
          <t>Wihan Manu Willer</t>
        </is>
      </c>
      <c r="C121" s="14" t="inlineStr">
        <is>
          <t>WEC127</t>
        </is>
      </c>
      <c r="D121" s="14" t="inlineStr">
        <is>
          <t>ARC-RCM</t>
        </is>
      </c>
      <c r="E121" s="14" t="inlineStr">
        <is>
          <t>GP Consult</t>
        </is>
      </c>
      <c r="F121" s="14" t="inlineStr">
        <is>
          <t>Neopak - Rosslyn</t>
        </is>
      </c>
      <c r="G121" s="14" t="inlineStr">
        <is>
          <t>RS</t>
        </is>
      </c>
      <c r="H121" s="14" t="inlineStr">
        <is>
          <t>Reliability Technician</t>
        </is>
      </c>
      <c r="I121" s="14" t="inlineStr">
        <is>
          <t>Francois Pretorius</t>
        </is>
      </c>
      <c r="J121" s="14" t="inlineStr">
        <is>
          <t>0646504720</t>
        </is>
      </c>
      <c r="K121" s="14" t="inlineStr">
        <is>
          <t>Submitted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16"/>
  <autoFilter ref="A1:K1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C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0" customWidth="1" min="2" max="2"/>
    <col width="60" customWidth="1" min="3" max="3"/>
  </cols>
  <sheetData>
    <row r="1">
      <c r="A1" s="13" t="inlineStr">
        <is>
          <t>Display Name</t>
        </is>
      </c>
      <c r="B1" s="13" t="inlineStr">
        <is>
          <t>User Principal Name</t>
        </is>
      </c>
      <c r="C1" s="13" t="inlineStr">
        <is>
          <t>Licenses</t>
        </is>
      </c>
    </row>
    <row r="2">
      <c r="A2" s="14" t="inlineStr">
        <is>
          <t>Admin</t>
        </is>
      </c>
      <c r="B2" s="14" t="inlineStr">
        <is>
          <t>admin@WearCheckRS.com</t>
        </is>
      </c>
      <c r="C2" s="14" t="inlineStr">
        <is>
          <t>Microsoft Defender for Office 365 (Plan 2)+Microsoft Fabric (Free)+Microsoft 365 E3</t>
        </is>
      </c>
    </row>
    <row r="3">
      <c r="A3" s="14" t="inlineStr">
        <is>
          <t>Adri Ludick</t>
        </is>
      </c>
      <c r="B3" s="14" t="inlineStr">
        <is>
          <t>A.Ludick@WearCheckRS.com</t>
        </is>
      </c>
      <c r="C3" s="14" t="inlineStr">
        <is>
          <t>Microsoft 365 Business Premium+Microsoft Copilot Studio Viral Trial+Microsoft Defender for Office 365 (Plan 2)+Microsoft Power Automate Free</t>
        </is>
      </c>
    </row>
    <row r="4">
      <c r="A4" s="14" t="inlineStr">
        <is>
          <t>Adri Ludick Old</t>
        </is>
      </c>
      <c r="B4" s="14" t="inlineStr">
        <is>
          <t>Adri.ludick@WearCheckRS.com</t>
        </is>
      </c>
      <c r="C4" s="14" t="inlineStr">
        <is>
          <t>Microsoft Defender for Office 365 (Plan 2)+Microsoft Power Automate Free+Microsoft 365 Business Standard</t>
        </is>
      </c>
    </row>
    <row r="5">
      <c r="A5" s="14" t="inlineStr">
        <is>
          <t>Adriaan Bouwer</t>
        </is>
      </c>
      <c r="B5" s="14" t="inlineStr">
        <is>
          <t>adriaanb@WearCheckRS.com</t>
        </is>
      </c>
      <c r="C5" s="14" t="inlineStr">
        <is>
          <t>Microsoft Defender for Office 365 (Plan 2)+Microsoft Power Automate Free+Microsoft 365 Business Standard+Microsoft Fabric (Free)</t>
        </is>
      </c>
    </row>
    <row r="6">
      <c r="A6" s="14" t="inlineStr">
        <is>
          <t>AFS Application</t>
        </is>
      </c>
      <c r="B6" s="14" t="inlineStr">
        <is>
          <t>afs_app@WearCheckRS.com</t>
        </is>
      </c>
      <c r="C6" s="14" t="inlineStr">
        <is>
          <t>Microsoft Power Automate Free+Exchange Online (Plan 1)</t>
        </is>
      </c>
    </row>
    <row r="7">
      <c r="A7" s="14" t="inlineStr">
        <is>
          <t>Alex Outram</t>
        </is>
      </c>
      <c r="B7" s="14" t="inlineStr">
        <is>
          <t>Alex@WearCheckRS.com</t>
        </is>
      </c>
      <c r="C7" s="14" t="inlineStr">
        <is>
          <t>Microsoft Defender for Office 365 (Plan 2)+Microsoft Power Automate Free+Microsoft Fabric (Free)+Microsoft 365 Business Standard</t>
        </is>
      </c>
    </row>
    <row r="8">
      <c r="A8" s="14" t="inlineStr">
        <is>
          <t>Allan Stuurman</t>
        </is>
      </c>
      <c r="B8" s="14" t="inlineStr">
        <is>
          <t>Allan@WearCheckRS.com</t>
        </is>
      </c>
      <c r="C8" s="14" t="inlineStr">
        <is>
          <t>Microsoft Defender for Office 365 (Plan 2)+Microsoft 365 Business Standard</t>
        </is>
      </c>
    </row>
    <row r="9">
      <c r="A9" s="14" t="inlineStr">
        <is>
          <t>Andrew Robb</t>
        </is>
      </c>
      <c r="B9" s="14" t="inlineStr">
        <is>
          <t>Andrew@wearcheckrs.com</t>
        </is>
      </c>
      <c r="C9" s="14" t="inlineStr">
        <is>
          <t>Microsoft 365 Business Premium+Microsoft Defender for Office 365 (Plan 2)+Microsoft Fabric (Free)</t>
        </is>
      </c>
    </row>
    <row r="10">
      <c r="A10" s="14" t="inlineStr">
        <is>
          <t>Annah Modutwane</t>
        </is>
      </c>
      <c r="B10" s="14" t="inlineStr">
        <is>
          <t>annahm@WearCheckRS.com</t>
        </is>
      </c>
      <c r="C10" s="14" t="inlineStr">
        <is>
          <t>Microsoft Defender for Office 365 (Plan 2)+Microsoft Power Automate Free+Microsoft Fabric (Free)+Microsoft 365 Business Standard</t>
        </is>
      </c>
    </row>
    <row r="11">
      <c r="A11" s="14" t="inlineStr">
        <is>
          <t>Annemie Willer</t>
        </is>
      </c>
      <c r="B11" s="14" t="inlineStr">
        <is>
          <t>annemie@WearCheckRS.com</t>
        </is>
      </c>
      <c r="C11" s="14" t="inlineStr">
        <is>
          <t>Microsoft Defender for Office 365 (Plan 2)+Power BI Premium Per User+Microsoft Copilot Studio Viral Trial+Microsoft Power Apps Plan 2 Trial+Microsoft 365 E3+Microsoft Fabric (Free)+Microsoft Power Automate Free</t>
        </is>
      </c>
    </row>
    <row r="12">
      <c r="A12" s="14" t="inlineStr">
        <is>
          <t>Antonio Ehrke</t>
        </is>
      </c>
      <c r="B12" s="14" t="inlineStr">
        <is>
          <t>Antonio.Ehrke@WearCheckRS.com</t>
        </is>
      </c>
      <c r="C12" s="14" t="inlineStr">
        <is>
          <t>Microsoft Defender for Office 365 (Plan 2)+Microsoft 365 Business Standard</t>
        </is>
      </c>
    </row>
    <row r="13">
      <c r="A13" s="14" t="inlineStr">
        <is>
          <t>Armindo Mucacho</t>
        </is>
      </c>
      <c r="B13" s="14" t="inlineStr">
        <is>
          <t>Armindo@WearCheckRS.com</t>
        </is>
      </c>
      <c r="C13" s="14" t="inlineStr">
        <is>
          <t>Microsoft Defender for Office 365 (Plan 2)+Microsoft Fabric (Free)+Microsoft 365 Business Standard</t>
        </is>
      </c>
    </row>
    <row r="14">
      <c r="A14" s="14" t="inlineStr">
        <is>
          <t>Arnold van Zyl</t>
        </is>
      </c>
      <c r="B14" s="14" t="inlineStr">
        <is>
          <t>Arnold@WearCheckRS.com</t>
        </is>
      </c>
      <c r="C14" s="14" t="inlineStr">
        <is>
          <t>Microsoft Defender for Office 365 (Plan 2)+Microsoft 365 Business Standard</t>
        </is>
      </c>
    </row>
    <row r="15">
      <c r="A15" s="14" t="inlineStr">
        <is>
          <t>Aubrey Tshabalala</t>
        </is>
      </c>
      <c r="B15" s="14" t="inlineStr">
        <is>
          <t>Aubrey@WearCheckRS.com</t>
        </is>
      </c>
      <c r="C15" s="14" t="inlineStr">
        <is>
          <t>Microsoft Defender for Office 365 (Plan 2)+Microsoft 365 Business Standard</t>
        </is>
      </c>
    </row>
    <row r="16">
      <c r="A16" s="14" t="inlineStr">
        <is>
          <t>Bernard Lopi Molangoane</t>
        </is>
      </c>
      <c r="B16" s="14" t="inlineStr">
        <is>
          <t>lopi@WearCheckRS.com</t>
        </is>
      </c>
      <c r="C16" s="14" t="inlineStr">
        <is>
          <t>Microsoft Defender for Office 365 (Plan 2)+Microsoft 365 Business Standard</t>
        </is>
      </c>
    </row>
    <row r="17">
      <c r="A17" s="14" t="inlineStr">
        <is>
          <t>Betty Monyepao</t>
        </is>
      </c>
      <c r="B17" s="14" t="inlineStr">
        <is>
          <t>betty@WearCheckRS.com</t>
        </is>
      </c>
      <c r="C17" s="14" t="inlineStr">
        <is>
          <t>Microsoft Defender for Office 365 (Plan 2)+Microsoft 365 Business Standard</t>
        </is>
      </c>
    </row>
    <row r="18">
      <c r="A18" s="14" t="inlineStr">
        <is>
          <t>Bianka De Beer</t>
        </is>
      </c>
      <c r="B18" s="14" t="inlineStr">
        <is>
          <t>Bianka@WearCheckRS.com</t>
        </is>
      </c>
      <c r="C18" s="14" t="inlineStr">
        <is>
          <t>Microsoft Power Automate Free+Microsoft Power Apps Plan 2 Trial+Microsoft Fabric (Free)+Microsoft Copilot Studio Viral Trial+Microsoft Power Apps for Developer+Power Pages vTrial for Makers+Microsoft Defender for Office 365 (Plan 2)+Dynamics 365 Customer Insights Self-Service+Microsoft 365 Business Premium</t>
        </is>
      </c>
    </row>
    <row r="19">
      <c r="A19" s="14" t="inlineStr">
        <is>
          <t>Boitumelo Makgamatha</t>
        </is>
      </c>
      <c r="B19" s="14" t="inlineStr">
        <is>
          <t>Boitumelo@WearCheckRS.com</t>
        </is>
      </c>
      <c r="C19" s="14" t="inlineStr">
        <is>
          <t>Microsoft Defender for Office 365 (Plan 2)+Microsoft 365 Business Standard</t>
        </is>
      </c>
    </row>
    <row r="20">
      <c r="A20" s="14" t="inlineStr">
        <is>
          <t>Chicco Tivane</t>
        </is>
      </c>
      <c r="B20" s="14" t="inlineStr">
        <is>
          <t>chicco@WearCheckRS.com</t>
        </is>
      </c>
      <c r="C20" s="14" t="inlineStr">
        <is>
          <t>Microsoft Defender for Office 365 (Plan 2)+Microsoft 365 Business Standard</t>
        </is>
      </c>
    </row>
    <row r="21">
      <c r="A21" s="14" t="inlineStr">
        <is>
          <t>Chris Mostert</t>
        </is>
      </c>
      <c r="B21" s="14" t="inlineStr">
        <is>
          <t>ChrisM@wearcheckrs.com</t>
        </is>
      </c>
      <c r="C21" s="14" t="inlineStr">
        <is>
          <t>Microsoft Defender for Office 365 (Plan 2)+Microsoft 365 Business Standard</t>
        </is>
      </c>
    </row>
    <row r="22">
      <c r="A22" s="14" t="inlineStr">
        <is>
          <t>Christene Fourie</t>
        </is>
      </c>
      <c r="B22" s="14" t="inlineStr">
        <is>
          <t>Christene@WearCheckRS.com</t>
        </is>
      </c>
      <c r="C22" s="14" t="inlineStr">
        <is>
          <t>Microsoft Defender for Office 365 (Plan 2)+Microsoft Power Automate Free+Microsoft 365 Business Standard</t>
        </is>
      </c>
    </row>
    <row r="23">
      <c r="A23" s="14" t="inlineStr">
        <is>
          <t>Christian Geel</t>
        </is>
      </c>
      <c r="B23" s="14" t="inlineStr">
        <is>
          <t>Christian@WearCheckRS.com</t>
        </is>
      </c>
      <c r="C23" s="14" t="inlineStr">
        <is>
          <t>Microsoft Fabric (Free)+Microsoft Power Automate Free</t>
        </is>
      </c>
    </row>
    <row r="24">
      <c r="A24" s="14" t="inlineStr">
        <is>
          <t>Christie</t>
        </is>
      </c>
      <c r="B24" s="14" t="inlineStr">
        <is>
          <t>christie.samancor@WearCheckRS.com</t>
        </is>
      </c>
      <c r="C24" s="14" t="inlineStr">
        <is>
          <t>Microsoft Fabric (Free)</t>
        </is>
      </c>
    </row>
    <row r="25">
      <c r="A25" s="14" t="inlineStr">
        <is>
          <t>CJ Woller</t>
        </is>
      </c>
      <c r="B25" s="14" t="inlineStr">
        <is>
          <t>cj@WearCheckRS.com</t>
        </is>
      </c>
      <c r="C25" s="14" t="inlineStr">
        <is>
          <t>Microsoft Defender for Office 365 (Plan 2)+Microsoft Power Automate Free+Microsoft 365 Business Standard</t>
        </is>
      </c>
    </row>
    <row r="26">
      <c r="A26" s="14" t="inlineStr">
        <is>
          <t>Colleen Pyper</t>
        </is>
      </c>
      <c r="B26" s="14" t="inlineStr">
        <is>
          <t>colleen.pyper@WearCheckRS.com</t>
        </is>
      </c>
      <c r="C26" s="14" t="inlineStr">
        <is>
          <t>Microsoft Defender for Office 365 (Plan 2)+Microsoft Power Automate Free+Microsoft 365 Business Standard</t>
        </is>
      </c>
    </row>
    <row r="27">
      <c r="A27" s="14" t="inlineStr">
        <is>
          <t>Daniel Molapo</t>
        </is>
      </c>
      <c r="B27" s="14" t="inlineStr">
        <is>
          <t>daniel@WearCheckRS.com</t>
        </is>
      </c>
      <c r="C27" s="14" t="inlineStr">
        <is>
          <t>Microsoft Defender for Office 365 (Plan 2)+Microsoft 365 E3+Microsoft Fabric (Free)+Microsoft Power Automate Free</t>
        </is>
      </c>
    </row>
    <row r="28">
      <c r="A28" s="14" t="inlineStr">
        <is>
          <t>David Lipange</t>
        </is>
      </c>
      <c r="B28" s="14" t="inlineStr">
        <is>
          <t>DavidL@WearCheckRS.com</t>
        </is>
      </c>
      <c r="C28" s="14" t="inlineStr">
        <is>
          <t>Microsoft Defender for Office 365 (Plan 2)+Microsoft Fabric (Free)+Microsoft 365 Business Standard</t>
        </is>
      </c>
    </row>
    <row r="29">
      <c r="A29" s="14" t="inlineStr">
        <is>
          <t>David Viljoen</t>
        </is>
      </c>
      <c r="B29" s="14" t="inlineStr">
        <is>
          <t>David@WearCheckRS.com</t>
        </is>
      </c>
      <c r="C29" s="14" t="inlineStr">
        <is>
          <t>Microsoft Defender for Office 365 (Plan 2)+Microsoft Fabric (Free)+Microsoft 365 Business Standard+Microsoft Power Automate Free</t>
        </is>
      </c>
    </row>
    <row r="30">
      <c r="A30" s="14" t="inlineStr">
        <is>
          <t>Deon Gaarkeuken</t>
        </is>
      </c>
      <c r="B30" s="14" t="inlineStr">
        <is>
          <t>Deon@WearCheckRS.com</t>
        </is>
      </c>
      <c r="C30" s="14" t="inlineStr">
        <is>
          <t>Microsoft Defender for Office 365 (Plan 2)+Power BI Premium Per User+Microsoft 365 E3+Microsoft Fabric (Free)+Microsoft Power Automate Free</t>
        </is>
      </c>
    </row>
    <row r="31">
      <c r="A31" s="14" t="inlineStr">
        <is>
          <t>Desmond Ngomane</t>
        </is>
      </c>
      <c r="B31" s="14" t="inlineStr">
        <is>
          <t>desmond@WearCheckRS.com</t>
        </is>
      </c>
      <c r="C31" s="14" t="inlineStr">
        <is>
          <t>Microsoft Defender for Office 365 (Plan 2)+Microsoft Fabric (Free)+Microsoft 365 Business Standard</t>
        </is>
      </c>
    </row>
    <row r="32">
      <c r="A32" s="14" t="inlineStr">
        <is>
          <t>Dian Leff</t>
        </is>
      </c>
      <c r="B32" s="14" t="inlineStr">
        <is>
          <t>dian@WearCheckRS.com</t>
        </is>
      </c>
      <c r="C32" s="14" t="inlineStr">
        <is>
          <t>Microsoft Defender for Office 365 (Plan 2)+Microsoft 365 Business Standard</t>
        </is>
      </c>
    </row>
    <row r="33">
      <c r="A33" s="14" t="inlineStr">
        <is>
          <t>Douglas Prout-Jones</t>
        </is>
      </c>
      <c r="B33" s="14" t="inlineStr">
        <is>
          <t>douglas@WearCheckRS.com</t>
        </is>
      </c>
      <c r="C33" s="14" t="inlineStr">
        <is>
          <t>Microsoft Defender for Office 365 (Plan 2)+Microsoft Power Automate Free+Microsoft 365 Business Standard</t>
        </is>
      </c>
    </row>
    <row r="34">
      <c r="A34" s="14" t="inlineStr">
        <is>
          <t>Eben Prinsloo</t>
        </is>
      </c>
      <c r="B34" s="14" t="inlineStr">
        <is>
          <t>eben@WearCheckRS.com</t>
        </is>
      </c>
      <c r="C34" s="14" t="inlineStr">
        <is>
          <t>Microsoft Defender for Office 365 (Plan 2)+Microsoft 365 Business Standard+Microsoft Fabric (Free)</t>
        </is>
      </c>
    </row>
    <row r="35">
      <c r="A35" s="14" t="inlineStr">
        <is>
          <t>Edward Pieterse Jnr</t>
        </is>
      </c>
      <c r="B35" s="14" t="inlineStr">
        <is>
          <t>edwardfp@WearCheckRS.com</t>
        </is>
      </c>
      <c r="C35" s="14" t="inlineStr">
        <is>
          <t>Microsoft Defender for Office 365 (Plan 2)+Microsoft Power Apps for Developer+Microsoft 365 E3+Microsoft Fabric (Free)+Microsoft Power Automate Free</t>
        </is>
      </c>
    </row>
    <row r="36">
      <c r="A36" s="14" t="inlineStr">
        <is>
          <t>Edward Pieterse Snr</t>
        </is>
      </c>
      <c r="B36" s="14" t="inlineStr">
        <is>
          <t>epieterse@wearcheckrs.com</t>
        </is>
      </c>
      <c r="C36" s="14" t="inlineStr">
        <is>
          <t>Microsoft 365 Business Premium+Microsoft Defender for Office 365 (Plan 2)+Microsoft Power Automate Free+Microsoft Fabric (Free)</t>
        </is>
      </c>
    </row>
    <row r="37">
      <c r="A37" s="14" t="inlineStr">
        <is>
          <t>Edwin Gibbons</t>
        </is>
      </c>
      <c r="B37" s="14" t="inlineStr">
        <is>
          <t>edwin@WearCheckRS.com</t>
        </is>
      </c>
      <c r="C37" s="14" t="inlineStr">
        <is>
          <t>Microsoft Defender for Office 365 (Plan 2)+Microsoft 365 Business Standard</t>
        </is>
      </c>
    </row>
    <row r="38">
      <c r="A38" s="14" t="inlineStr">
        <is>
          <t>Ethel Mienie</t>
        </is>
      </c>
      <c r="B38" s="14" t="inlineStr">
        <is>
          <t>ethel.mienie@WearCheckRS.com</t>
        </is>
      </c>
      <c r="C38" s="14" t="inlineStr">
        <is>
          <t>Microsoft Defender for Office 365 (Plan 2)+Microsoft 365 Business Standard</t>
        </is>
      </c>
    </row>
    <row r="39">
      <c r="A39" s="14" t="inlineStr">
        <is>
          <t>Eugene Scheepers</t>
        </is>
      </c>
      <c r="B39" s="14" t="inlineStr">
        <is>
          <t>eugene@WearCheckRS.com</t>
        </is>
      </c>
      <c r="C39" s="14" t="inlineStr">
        <is>
          <t>Microsoft Defender for Office 365 (Plan 2)+Microsoft 365 Business Standard</t>
        </is>
      </c>
    </row>
    <row r="40">
      <c r="A40" s="14" t="inlineStr">
        <is>
          <t>Evert Viljoen</t>
        </is>
      </c>
      <c r="B40" s="14" t="inlineStr">
        <is>
          <t>Evert@WearCheckRS.com</t>
        </is>
      </c>
      <c r="C40" s="14" t="inlineStr">
        <is>
          <t>Microsoft Defender for Office 365 (Plan 2)+Microsoft 365 Business Premium</t>
        </is>
      </c>
    </row>
    <row r="41">
      <c r="A41" s="14" t="inlineStr">
        <is>
          <t>FLIRIRVM1</t>
        </is>
      </c>
      <c r="B41" s="14" t="inlineStr">
        <is>
          <t>flirirvm1@WearCheckRS.com</t>
        </is>
      </c>
      <c r="C41" s="14" t="inlineStr">
        <is>
          <t>Microsoft Defender for Office 365 (Plan 2)+Microsoft 365 Business Standard</t>
        </is>
      </c>
    </row>
    <row r="42">
      <c r="A42" s="14" t="inlineStr">
        <is>
          <t>flirirvm2</t>
        </is>
      </c>
      <c r="B42" s="14" t="inlineStr">
        <is>
          <t>flirirvm2@WearCheckRS.com</t>
        </is>
      </c>
      <c r="C42" s="14" t="inlineStr">
        <is>
          <t>Microsoft Defender for Office 365 (Plan 2)+Microsoft Fabric (Free)+Microsoft 365 Business Standard</t>
        </is>
      </c>
    </row>
    <row r="43">
      <c r="A43" s="14" t="inlineStr">
        <is>
          <t>flirirvm3</t>
        </is>
      </c>
      <c r="B43" s="14" t="inlineStr">
        <is>
          <t>flirirvm3@WearCheckRS.com</t>
        </is>
      </c>
      <c r="C43" s="14" t="inlineStr">
        <is>
          <t>Microsoft Defender for Office 365 (Plan 2)+Microsoft Fabric (Free)+Microsoft 365 Business Standard</t>
        </is>
      </c>
    </row>
    <row r="44">
      <c r="A44" s="14" t="inlineStr">
        <is>
          <t>Francios Pretorius</t>
        </is>
      </c>
      <c r="B44" s="14" t="inlineStr">
        <is>
          <t>franciosp@WearCheckRS.com</t>
        </is>
      </c>
      <c r="C44" s="14" t="inlineStr">
        <is>
          <t>Microsoft Defender for Office 365 (Plan 2)+Microsoft Power Automate Free+Microsoft 365 Business Standard</t>
        </is>
      </c>
    </row>
    <row r="45">
      <c r="A45" s="14" t="inlineStr">
        <is>
          <t>Francois Pienaar</t>
        </is>
      </c>
      <c r="B45" s="14" t="inlineStr">
        <is>
          <t>FrancoisP@WearCheckRS.com</t>
        </is>
      </c>
      <c r="C45" s="14" t="inlineStr">
        <is>
          <t>Microsoft Defender for Office 365 (Plan 2)+Microsoft Fabric (Free)+Microsoft 365 Business Standard+Microsoft Power Automate Free</t>
        </is>
      </c>
    </row>
    <row r="46">
      <c r="A46" s="14" t="inlineStr">
        <is>
          <t>Francois van Eden</t>
        </is>
      </c>
      <c r="B46" s="14" t="inlineStr">
        <is>
          <t>francoisve@wearcheckrs.com</t>
        </is>
      </c>
      <c r="C46" s="14" t="inlineStr">
        <is>
          <t>Microsoft 365 Business Premium+Microsoft Defender for Office 365 (Plan 2)+Microsoft Fabric (Free)+Microsoft Power Automate Free</t>
        </is>
      </c>
    </row>
    <row r="47">
      <c r="A47" s="14" t="inlineStr">
        <is>
          <t>Freddy-Ben Gariseb</t>
        </is>
      </c>
      <c r="B47" s="14" t="inlineStr">
        <is>
          <t>Freddy-Ben@WearCheckRS.com</t>
        </is>
      </c>
      <c r="C47" s="14" t="inlineStr">
        <is>
          <t>Microsoft Defender for Office 365 (Plan 2)+Microsoft 365 Business Standard</t>
        </is>
      </c>
    </row>
    <row r="48">
      <c r="A48" s="14" t="inlineStr">
        <is>
          <t>Gabriel</t>
        </is>
      </c>
      <c r="B48" s="14" t="inlineStr">
        <is>
          <t>Gabriel@WearCheckRS.com</t>
        </is>
      </c>
      <c r="C48" s="14" t="inlineStr">
        <is>
          <t>Microsoft Defender for Office 365 (Plan 2)+Microsoft Fabric (Free)+Microsoft 365 Business Standard</t>
        </is>
      </c>
    </row>
    <row r="49">
      <c r="A49" s="14" t="inlineStr">
        <is>
          <t>Gladwin Sekharume</t>
        </is>
      </c>
      <c r="B49" s="14" t="inlineStr">
        <is>
          <t>GladwinS@WearCheckRS.com</t>
        </is>
      </c>
      <c r="C49" s="14" t="inlineStr">
        <is>
          <t>Microsoft Defender for Office 365 (Plan 2)+Microsoft 365 Business Standard</t>
        </is>
      </c>
    </row>
    <row r="50">
      <c r="A50" s="14" t="inlineStr">
        <is>
          <t>Godfrey Boikhutso</t>
        </is>
      </c>
      <c r="B50" s="14" t="inlineStr">
        <is>
          <t>Godfrey@WearCheckRS.com</t>
        </is>
      </c>
      <c r="C50" s="14" t="inlineStr">
        <is>
          <t>Microsoft Defender for Office 365 (Plan 2)+Microsoft 365 Business Premium</t>
        </is>
      </c>
    </row>
    <row r="51">
      <c r="A51" s="14" t="inlineStr">
        <is>
          <t>Gustav Lourens</t>
        </is>
      </c>
      <c r="B51" s="14" t="inlineStr">
        <is>
          <t>gustav@WearCheckRS.com</t>
        </is>
      </c>
      <c r="C51" s="14" t="inlineStr">
        <is>
          <t>Microsoft Defender for Office 365 (Plan 2)+Microsoft 365 Business Standard</t>
        </is>
      </c>
    </row>
    <row r="52">
      <c r="A52" s="14" t="inlineStr">
        <is>
          <t>Hannest Koegelenberg</t>
        </is>
      </c>
      <c r="B52" s="14" t="inlineStr">
        <is>
          <t>hannest@WearCheckRS.com</t>
        </is>
      </c>
      <c r="C52" s="14" t="inlineStr">
        <is>
          <t>Microsoft Defender for Office 365 (Plan 2)+Microsoft 365 Business Standard</t>
        </is>
      </c>
    </row>
    <row r="53">
      <c r="A53" s="14" t="inlineStr">
        <is>
          <t>Hein Coetzer</t>
        </is>
      </c>
      <c r="B53" s="14" t="inlineStr">
        <is>
          <t>heinc@WearCheckRS.com</t>
        </is>
      </c>
      <c r="C53" s="14" t="inlineStr">
        <is>
          <t>Microsoft Defender for Office 365 (Plan 2)+Microsoft 365 Business Standard</t>
        </is>
      </c>
    </row>
    <row r="54">
      <c r="A54" s="14" t="inlineStr">
        <is>
          <t>Heinrich Kusel</t>
        </is>
      </c>
      <c r="B54" s="14" t="inlineStr">
        <is>
          <t>Heinrich@WearCheckRS.com</t>
        </is>
      </c>
      <c r="C54" s="14" t="inlineStr">
        <is>
          <t>Microsoft Defender for Office 365 (Plan 2)+Microsoft 365 Business Standard</t>
        </is>
      </c>
    </row>
    <row r="55">
      <c r="A55" s="14" t="inlineStr">
        <is>
          <t>Henry Mherekumombe</t>
        </is>
      </c>
      <c r="B55" s="14" t="inlineStr">
        <is>
          <t>Henry@WearCheckRS.com</t>
        </is>
      </c>
      <c r="C55" s="14" t="inlineStr">
        <is>
          <t>Microsoft Defender for Office 365 (Plan 2)+Microsoft Power Automate Free+Microsoft 365 Business Standard</t>
        </is>
      </c>
    </row>
    <row r="56">
      <c r="A56" s="14" t="inlineStr">
        <is>
          <t>Isac Zacarias</t>
        </is>
      </c>
      <c r="B56" s="14" t="inlineStr">
        <is>
          <t>Isac@WearCheckRS.com</t>
        </is>
      </c>
      <c r="C56" s="14" t="inlineStr">
        <is>
          <t>Microsoft Defender for Office 365 (Plan 2)+Microsoft Fabric (Free)+Microsoft 365 Business Standard</t>
        </is>
      </c>
    </row>
    <row r="57">
      <c r="A57" s="14" t="inlineStr">
        <is>
          <t>Ivan Langa</t>
        </is>
      </c>
      <c r="B57" s="14" t="inlineStr">
        <is>
          <t>Ivan@WearCheckRS.com</t>
        </is>
      </c>
      <c r="C57" s="14" t="inlineStr">
        <is>
          <t>Microsoft Defender for Office 365 (Plan 2)+Microsoft Fabric (Free)+Microsoft 365 Business Standard</t>
        </is>
      </c>
    </row>
    <row r="58">
      <c r="A58" s="14" t="inlineStr">
        <is>
          <t>Jaco De Beer</t>
        </is>
      </c>
      <c r="B58" s="14" t="inlineStr">
        <is>
          <t>jacodb@WearCheckRS.com</t>
        </is>
      </c>
      <c r="C58" s="14" t="inlineStr">
        <is>
          <t>Microsoft Defender for Office 365 (Plan 2)+Microsoft 365 Business Standard</t>
        </is>
      </c>
    </row>
    <row r="59">
      <c r="A59" s="14" t="inlineStr">
        <is>
          <t>Jaco Venter</t>
        </is>
      </c>
      <c r="B59" s="14" t="inlineStr">
        <is>
          <t>JacoV@WearCheckRS.com</t>
        </is>
      </c>
      <c r="C59" s="14" t="inlineStr">
        <is>
          <t>Microsoft Defender for Office 365 (Plan 2)+Microsoft 365 Business Premium</t>
        </is>
      </c>
    </row>
    <row r="60">
      <c r="A60" s="14" t="inlineStr">
        <is>
          <t>Jaco Willer</t>
        </is>
      </c>
      <c r="B60" s="14" t="inlineStr">
        <is>
          <t>jaco@wearcheckrs.com</t>
        </is>
      </c>
      <c r="C60" s="14" t="inlineStr">
        <is>
          <t>Microsoft 365 Business Premium+Microsoft Defender for Office 365 (Plan 2)+Microsoft Power Automate Free</t>
        </is>
      </c>
    </row>
    <row r="61">
      <c r="A61" s="14" t="inlineStr">
        <is>
          <t>James Tshabalala</t>
        </is>
      </c>
      <c r="B61" s="14" t="inlineStr">
        <is>
          <t>james@WearCheckRS.com</t>
        </is>
      </c>
      <c r="C61" s="14" t="inlineStr">
        <is>
          <t>Microsoft Defender for Office 365 (Plan 2)+Microsoft Power Automate Free+Microsoft Fabric (Free)+Microsoft 365 Business Standard</t>
        </is>
      </c>
    </row>
    <row r="62">
      <c r="A62" s="14" t="inlineStr">
        <is>
          <t>Jean-Jacques</t>
        </is>
      </c>
      <c r="B62" s="14" t="inlineStr">
        <is>
          <t>jj@WearCheckRS.com</t>
        </is>
      </c>
      <c r="C62" s="14" t="inlineStr">
        <is>
          <t>Microsoft 365 Business Premium+Microsoft Power Automate Free+Microsoft Fabric (Free)+Microsoft Defender for Office 365 (Plan 2)</t>
        </is>
      </c>
    </row>
    <row r="63">
      <c r="A63" s="14" t="inlineStr">
        <is>
          <t>Jean Pierre Du Plessis</t>
        </is>
      </c>
      <c r="B63" s="14" t="inlineStr">
        <is>
          <t>Jean-Pierre@WearCheckRS.com</t>
        </is>
      </c>
      <c r="C63" s="14" t="inlineStr">
        <is>
          <t>Microsoft 365 Business Standard+Microsoft Defender for Office 365 (Plan 2)</t>
        </is>
      </c>
    </row>
    <row r="64">
      <c r="A64" s="14" t="inlineStr">
        <is>
          <t>Joe Kies</t>
        </is>
      </c>
      <c r="B64" s="14" t="inlineStr">
        <is>
          <t>Joe@WearCheckRS.com</t>
        </is>
      </c>
      <c r="C64" s="14" t="inlineStr">
        <is>
          <t>Microsoft Power Automate Free+Microsoft 365 Business Standard+Microsoft Power Apps Plan 2 Trial+Microsoft Fabric (Free)+Microsoft Copilot Studio Viral Trial+Microsoft Power Apps for Developer+Power Pages vTrial for Makers+Microsoft Defender for Office 365 (Plan 2)+Dynamics 365 Customer Insights Self-Service</t>
        </is>
      </c>
    </row>
    <row r="65">
      <c r="A65" s="14" t="inlineStr">
        <is>
          <t>Johan Bekker</t>
        </is>
      </c>
      <c r="B65" s="14" t="inlineStr">
        <is>
          <t>JohanB@WearCheckRS.com</t>
        </is>
      </c>
      <c r="C65" s="14" t="inlineStr">
        <is>
          <t>Microsoft Defender for Office 365 (Plan 2)+Microsoft Power Automate Free+Microsoft 365 Business Standard</t>
        </is>
      </c>
    </row>
    <row r="66">
      <c r="A66" s="14" t="inlineStr">
        <is>
          <t>Johan Rossouw</t>
        </is>
      </c>
      <c r="B66" s="14" t="inlineStr">
        <is>
          <t>JohanR@WearCheckRS.com</t>
        </is>
      </c>
      <c r="C66" s="14" t="inlineStr">
        <is>
          <t>Microsoft Defender for Office 365 (Plan 2)+Microsoft 365 Business Standard</t>
        </is>
      </c>
    </row>
    <row r="67">
      <c r="A67" s="14" t="inlineStr">
        <is>
          <t>Johan Stols</t>
        </is>
      </c>
      <c r="B67" s="14" t="inlineStr">
        <is>
          <t>Johan.Stols@WearCheckRS.com</t>
        </is>
      </c>
      <c r="C67" s="14" t="inlineStr">
        <is>
          <t>Microsoft Defender for Office 365 (Plan 2)+Microsoft Power Automate Free+Microsoft 365 Business Standard</t>
        </is>
      </c>
    </row>
    <row r="68">
      <c r="A68" s="14" t="inlineStr">
        <is>
          <t>Johandre Oosthuizen</t>
        </is>
      </c>
      <c r="B68" s="14" t="inlineStr">
        <is>
          <t>johandre@WearCheckRS.com</t>
        </is>
      </c>
      <c r="C68" s="14" t="inlineStr">
        <is>
          <t>Microsoft Defender for Office 365 (Plan 2)+Microsoft 365 Business Standard</t>
        </is>
      </c>
    </row>
    <row r="69">
      <c r="A69" s="14" t="inlineStr">
        <is>
          <t>jordanlionmasters</t>
        </is>
      </c>
      <c r="B69" s="14" t="inlineStr">
        <is>
          <t>jordanlionmasters_gmail.com#EXT#@wearcheckrs.onmicrosoft.com</t>
        </is>
      </c>
      <c r="C69" s="14" t="inlineStr">
        <is>
          <t>Microsoft Fabric (Free)</t>
        </is>
      </c>
    </row>
    <row r="70">
      <c r="A70" s="14" t="inlineStr">
        <is>
          <t>Kenneth Moremi</t>
        </is>
      </c>
      <c r="B70" s="14" t="inlineStr">
        <is>
          <t>kenneth@WearCheckRS.com</t>
        </is>
      </c>
      <c r="C70" s="14" t="inlineStr">
        <is>
          <t>Microsoft Defender for Office 365 (Plan 2)+Microsoft 365 Business Standard</t>
        </is>
      </c>
    </row>
    <row r="71">
      <c r="A71" s="14" t="inlineStr">
        <is>
          <t>Kevin  Henwood</t>
        </is>
      </c>
      <c r="B71" s="14" t="inlineStr">
        <is>
          <t>Kevin@WearCheckRS.com</t>
        </is>
      </c>
      <c r="C71" s="14" t="inlineStr">
        <is>
          <t>Microsoft Defender for Office 365 (Plan 2)+Microsoft 365 Business Standard</t>
        </is>
      </c>
    </row>
    <row r="72">
      <c r="A72" s="14" t="inlineStr">
        <is>
          <t>Kevin Jonker</t>
        </is>
      </c>
      <c r="B72" s="14" t="inlineStr">
        <is>
          <t>kevinj@WearCheckRS.com</t>
        </is>
      </c>
      <c r="C72" s="14" t="inlineStr">
        <is>
          <t>Microsoft Fabric (Free)+Microsoft Power Automate Free</t>
        </is>
      </c>
    </row>
    <row r="73">
      <c r="A73" s="14" t="inlineStr">
        <is>
          <t>Khotso Mosala</t>
        </is>
      </c>
      <c r="B73" s="14" t="inlineStr">
        <is>
          <t>Khotso@WearCheckRS.com</t>
        </is>
      </c>
      <c r="C73" s="14" t="inlineStr">
        <is>
          <t>Microsoft Defender for Office 365 (Plan 2)+Microsoft 365 Business Standard</t>
        </is>
      </c>
    </row>
    <row r="74">
      <c r="A74" s="14" t="inlineStr">
        <is>
          <t>Landus Walters</t>
        </is>
      </c>
      <c r="B74" s="14" t="inlineStr">
        <is>
          <t>Landus@WearCheckRS.com</t>
        </is>
      </c>
      <c r="C74" s="14" t="inlineStr">
        <is>
          <t>Microsoft Defender for Office 365 (Plan 2)+Microsoft 365 Business Standard</t>
        </is>
      </c>
    </row>
    <row r="75">
      <c r="A75" s="14" t="inlineStr">
        <is>
          <t>Lea Bodenstein</t>
        </is>
      </c>
      <c r="B75" s="14" t="inlineStr">
        <is>
          <t>Lea@WearCheckRS.com</t>
        </is>
      </c>
      <c r="C75" s="14" t="inlineStr">
        <is>
          <t>Microsoft 365 Business Premium+Microsoft Defender for Office 365 (Plan 2)+Microsoft Fabric (Free)</t>
        </is>
      </c>
    </row>
    <row r="76">
      <c r="A76" s="14" t="inlineStr">
        <is>
          <t>Leon Coetzee</t>
        </is>
      </c>
      <c r="B76" s="14" t="inlineStr">
        <is>
          <t>leon@WearCheckRS.com</t>
        </is>
      </c>
      <c r="C76" s="14" t="inlineStr">
        <is>
          <t>Microsoft Defender for Office 365 (Plan 2)+Microsoft Power Automate Free+Microsoft 365 Business Standard</t>
        </is>
      </c>
    </row>
    <row r="77">
      <c r="A77" s="14" t="inlineStr">
        <is>
          <t>Lesego Khuthwane</t>
        </is>
      </c>
      <c r="B77" s="14" t="inlineStr">
        <is>
          <t>Lesego@WearCheckRS.com</t>
        </is>
      </c>
      <c r="C77" s="14" t="inlineStr">
        <is>
          <t>Microsoft 365 E3+Power BI Premium Per User+Microsoft Defender for Office 365 (Plan 2)+Microsoft Power Apps for Developer+Power Pages vTrial for Makers+Microsoft Fabric (Free)+Microsoft Power Apps Plan 2 Trial+Microsoft Copilot Studio Viral Trial+Microsoft Power Automate Free</t>
        </is>
      </c>
    </row>
    <row r="78">
      <c r="A78" s="14" t="inlineStr">
        <is>
          <t>Lloyd Ngobeni</t>
        </is>
      </c>
      <c r="B78" s="14" t="inlineStr">
        <is>
          <t>Lloyd@WearCheckRS.com</t>
        </is>
      </c>
      <c r="C78" s="14" t="inlineStr">
        <is>
          <t>Microsoft Defender for Office 365 (Plan 2)+Microsoft Power Automate Free+Microsoft 365 Business Standard</t>
        </is>
      </c>
    </row>
    <row r="79">
      <c r="A79" s="14" t="inlineStr">
        <is>
          <t>Londolani  Managa</t>
        </is>
      </c>
      <c r="B79" s="14" t="inlineStr">
        <is>
          <t>LondolaniM@WearCheckRS.com</t>
        </is>
      </c>
      <c r="C79" s="14" t="inlineStr">
        <is>
          <t>Microsoft Defender for Office 365 (Plan 2)+Microsoft 365 Business Standard</t>
        </is>
      </c>
    </row>
    <row r="80">
      <c r="A80" s="14" t="inlineStr">
        <is>
          <t>Lorraine Mokgethi</t>
        </is>
      </c>
      <c r="B80" s="14" t="inlineStr">
        <is>
          <t>Lorraine@WearCheckRS.com</t>
        </is>
      </c>
      <c r="C80" s="14" t="inlineStr">
        <is>
          <t>Microsoft Defender for Office 365 (Plan 2)+Microsoft 365 Business Premium</t>
        </is>
      </c>
    </row>
    <row r="81">
      <c r="A81" s="14" t="inlineStr">
        <is>
          <t>Louis Peacock</t>
        </is>
      </c>
      <c r="B81" s="14" t="inlineStr">
        <is>
          <t>louis@WearCheckRS.com</t>
        </is>
      </c>
      <c r="C81" s="14" t="inlineStr">
        <is>
          <t>Microsoft Defender for Office 365 (Plan 2)+Power BI Premium Per User+Microsoft 365 E3+Microsoft Power Automate Free</t>
        </is>
      </c>
    </row>
    <row r="82">
      <c r="A82" s="14" t="inlineStr">
        <is>
          <t>Louis Zoho</t>
        </is>
      </c>
      <c r="B82" s="14" t="inlineStr">
        <is>
          <t>Louis_Zoho@WearCheckRS.com</t>
        </is>
      </c>
      <c r="C82" s="14" t="inlineStr">
        <is>
          <t>Microsoft 365 Business Standard</t>
        </is>
      </c>
    </row>
    <row r="83">
      <c r="A83" s="14" t="inlineStr">
        <is>
          <t>Lubby Lubis</t>
        </is>
      </c>
      <c r="B83" s="14" t="inlineStr">
        <is>
          <t>lubby@WearCheckRS.com</t>
        </is>
      </c>
      <c r="C83" s="14" t="inlineStr">
        <is>
          <t>Microsoft Defender for Office 365 (Plan 2)+Microsoft 365 Business Standard</t>
        </is>
      </c>
    </row>
    <row r="84">
      <c r="A84" s="14" t="inlineStr">
        <is>
          <t>Lucas Luus</t>
        </is>
      </c>
      <c r="B84" s="14" t="inlineStr">
        <is>
          <t>lucas@WearCheckRS.com</t>
        </is>
      </c>
      <c r="C84" s="14" t="inlineStr">
        <is>
          <t>Microsoft Defender for Office 365 (Plan 2)+Microsoft 365 Business Standard</t>
        </is>
      </c>
    </row>
    <row r="85">
      <c r="A85" s="14" t="inlineStr">
        <is>
          <t>Mandé Coetzee</t>
        </is>
      </c>
      <c r="B85" s="14" t="inlineStr">
        <is>
          <t>Mande@WearCheckRS.com</t>
        </is>
      </c>
      <c r="C85" s="14" t="inlineStr">
        <is>
          <t>Microsoft Defender for Office 365 (Plan 2)+Microsoft Fabric (Free)+Microsoft Power Automate Free+Microsoft 365 E3</t>
        </is>
      </c>
    </row>
    <row r="86">
      <c r="A86" s="14" t="inlineStr">
        <is>
          <t>Mandiso Muchanga</t>
        </is>
      </c>
      <c r="B86" s="14" t="inlineStr">
        <is>
          <t>Mandiso@WearCheckRS.com</t>
        </is>
      </c>
      <c r="C86" s="14" t="inlineStr">
        <is>
          <t>Microsoft Defender for Office 365 (Plan 2)+Microsoft 365 Business Standard</t>
        </is>
      </c>
    </row>
    <row r="87">
      <c r="A87" s="14" t="inlineStr">
        <is>
          <t>Marcel Schoeman</t>
        </is>
      </c>
      <c r="B87" s="14" t="inlineStr">
        <is>
          <t>Marcel@WearCheckRS.com</t>
        </is>
      </c>
      <c r="C87" s="14" t="inlineStr">
        <is>
          <t>Microsoft 365 Business Premium+Microsoft Defender for Office 365 (Plan 2)+Microsoft Fabric (Free)</t>
        </is>
      </c>
    </row>
    <row r="88">
      <c r="A88" s="14" t="inlineStr">
        <is>
          <t>Mariette Du Rand</t>
        </is>
      </c>
      <c r="B88" s="14" t="inlineStr">
        <is>
          <t>mariette@WearCheckRS.com</t>
        </is>
      </c>
      <c r="C88" s="14" t="inlineStr">
        <is>
          <t>Microsoft 365 Business Premium+Microsoft Defender for Office 365 (Plan 2)</t>
        </is>
      </c>
    </row>
    <row r="89">
      <c r="A89" s="14" t="inlineStr">
        <is>
          <t>Marshall Rasimphi</t>
        </is>
      </c>
      <c r="B89" s="14" t="inlineStr">
        <is>
          <t>marshallr@WearCheckRS.com</t>
        </is>
      </c>
      <c r="C89" s="14" t="inlineStr">
        <is>
          <t>Microsoft Defender for Office 365 (Plan 2)+Microsoft 365 Business Standard</t>
        </is>
      </c>
    </row>
    <row r="90">
      <c r="A90" s="14" t="inlineStr">
        <is>
          <t>Marthinus Admin Account</t>
        </is>
      </c>
      <c r="B90" s="14" t="inlineStr">
        <is>
          <t>marthinus_admin@wearcheckrs.com</t>
        </is>
      </c>
      <c r="C90" s="14" t="inlineStr">
        <is>
          <t>Microsoft Power Automate Free+Microsoft Fabric (Free)</t>
        </is>
      </c>
    </row>
    <row r="91">
      <c r="A91" s="14" t="inlineStr">
        <is>
          <t>Marthinus Steenkamp</t>
        </is>
      </c>
      <c r="B91" s="14" t="inlineStr">
        <is>
          <t>Marthinus@WearCheckRS.com</t>
        </is>
      </c>
      <c r="C91" s="14" t="inlineStr">
        <is>
          <t>Microsoft Defender for Office 365 (Plan 2)+Microsoft 365 E3+Microsoft Fabric (Free)</t>
        </is>
      </c>
    </row>
    <row r="92">
      <c r="A92" s="14" t="inlineStr">
        <is>
          <t>Martiens Van Aarde</t>
        </is>
      </c>
      <c r="B92" s="14" t="inlineStr">
        <is>
          <t>martiens@WearCheckRS.com</t>
        </is>
      </c>
      <c r="C92" s="14" t="inlineStr">
        <is>
          <t>Microsoft Power Automate Free+Microsoft Defender for Office 365 (Plan 2)+Microsoft 365 Business Standard</t>
        </is>
      </c>
    </row>
    <row r="93">
      <c r="A93" s="14" t="inlineStr">
        <is>
          <t>Martin Prinsloo</t>
        </is>
      </c>
      <c r="B93" s="14" t="inlineStr">
        <is>
          <t>martin.prinsloo@WearCheckRS.com</t>
        </is>
      </c>
      <c r="C93" s="14" t="inlineStr">
        <is>
          <t>Microsoft Fabric (Free)</t>
        </is>
      </c>
    </row>
    <row r="94">
      <c r="A94" s="14" t="inlineStr">
        <is>
          <t>Megan Salzwedel</t>
        </is>
      </c>
      <c r="B94" s="14" t="inlineStr">
        <is>
          <t>Megan@wearcheckrs.com</t>
        </is>
      </c>
      <c r="C94" s="14" t="inlineStr">
        <is>
          <t>Microsoft 365 Business Premium+Microsoft Defender for Office 365 (Plan 2)+Microsoft Power Apps Plan 2 Trial+Microsoft Fabric (Free)+Microsoft Power Automate Free</t>
        </is>
      </c>
    </row>
    <row r="95">
      <c r="A95" s="14" t="inlineStr">
        <is>
          <t>Mervyn Gibbons</t>
        </is>
      </c>
      <c r="B95" s="14" t="inlineStr">
        <is>
          <t>Mervyn@WearCheckRS.com</t>
        </is>
      </c>
      <c r="C95" s="14" t="inlineStr">
        <is>
          <t>Microsoft Power Automate Free+Microsoft 365 Business Standard+Microsoft Power Apps Plan 2 Trial+Microsoft Fabric (Free)+Microsoft Copilot Studio Viral Trial+Microsoft Power Apps for Developer+Power Pages vTrial for Makers+Microsoft Defender for Office 365 (Plan 2)+Dynamics 365 Customer Insights Self-Service</t>
        </is>
      </c>
    </row>
    <row r="96">
      <c r="A96" s="14" t="inlineStr">
        <is>
          <t>Meshack Nxumalo</t>
        </is>
      </c>
      <c r="B96" s="14" t="inlineStr">
        <is>
          <t>meshack@WearCheckRS.com</t>
        </is>
      </c>
      <c r="C96" s="14" t="inlineStr">
        <is>
          <t>Microsoft Defender for Office 365 (Plan 2)+Microsoft 365 Business Standard</t>
        </is>
      </c>
    </row>
    <row r="97">
      <c r="A97" s="14" t="inlineStr">
        <is>
          <t>Micheal Masemola</t>
        </is>
      </c>
      <c r="B97" s="14" t="inlineStr">
        <is>
          <t>michealm@WearCheckRS.com</t>
        </is>
      </c>
      <c r="C97" s="14" t="inlineStr">
        <is>
          <t>Microsoft Defender for Office 365 (Plan 2)+Microsoft 365 Business Standard</t>
        </is>
      </c>
    </row>
    <row r="98">
      <c r="A98" s="14" t="inlineStr">
        <is>
          <t>Micheal Pretorius</t>
        </is>
      </c>
      <c r="B98" s="14" t="inlineStr">
        <is>
          <t>micheal@WearCheckRS.com</t>
        </is>
      </c>
      <c r="C98" s="14" t="inlineStr">
        <is>
          <t>Microsoft Defender for Office 365 (Plan 2)+Microsoft Power Automate Free+Microsoft 365 Business Standard</t>
        </is>
      </c>
    </row>
    <row r="99">
      <c r="A99" s="14" t="inlineStr">
        <is>
          <t>Mike Shongwe</t>
        </is>
      </c>
      <c r="B99" s="14" t="inlineStr">
        <is>
          <t>MikeS@WearCheckRS.com</t>
        </is>
      </c>
      <c r="C99" s="14" t="inlineStr">
        <is>
          <t>Microsoft Defender for Office 365 (Plan 2)+Microsoft 365 Business Standard</t>
        </is>
      </c>
    </row>
    <row r="100">
      <c r="A100" s="14" t="inlineStr">
        <is>
          <t>Morne Alberts</t>
        </is>
      </c>
      <c r="B100" s="14" t="inlineStr">
        <is>
          <t>mornea@wearcheckrs.com</t>
        </is>
      </c>
      <c r="C100" s="14" t="inlineStr">
        <is>
          <t>Microsoft 365 Business Premium+Microsoft Defender for Office 365 (Plan 2)+Microsoft Fabric (Free)</t>
        </is>
      </c>
    </row>
    <row r="101">
      <c r="A101" s="14" t="inlineStr">
        <is>
          <t>Muhamad Ikram Hanif</t>
        </is>
      </c>
      <c r="B101" s="14" t="inlineStr">
        <is>
          <t>Muhamad@WearCheckRS.com</t>
        </is>
      </c>
      <c r="C101" s="14" t="inlineStr">
        <is>
          <t>Microsoft Defender for Office 365 (Plan 2)+Microsoft Fabric (Free)+Microsoft 365 Business Standard</t>
        </is>
      </c>
    </row>
    <row r="102">
      <c r="A102" s="14" t="inlineStr">
        <is>
          <t>Nadhira Bux</t>
        </is>
      </c>
      <c r="B102" s="14" t="inlineStr">
        <is>
          <t>Nadhira@WearCheckRS.com</t>
        </is>
      </c>
      <c r="C102" s="14" t="inlineStr">
        <is>
          <t>Microsoft 365 Business Premium+Microsoft Defender for Office 365 (Plan 2)+Microsoft Power Apps for Developer+Power Pages vTrial for Makers+Microsoft Copilot Studio Viral Trial+Microsoft Power Automate Free+Microsoft Fabric (Free)</t>
        </is>
      </c>
    </row>
    <row r="103">
      <c r="A103" s="14" t="inlineStr">
        <is>
          <t>Nico du Plessis</t>
        </is>
      </c>
      <c r="B103" s="14" t="inlineStr">
        <is>
          <t>Nico.duPlessis@WearCheckRS.com</t>
        </is>
      </c>
      <c r="C103" s="14" t="inlineStr">
        <is>
          <t>Microsoft Power Automate Free+Microsoft Defender for Office 365 (Plan 2)+Microsoft 365 Business Standard</t>
        </is>
      </c>
    </row>
    <row r="104">
      <c r="A104" s="14" t="inlineStr">
        <is>
          <t>Nicolien Schutte</t>
        </is>
      </c>
      <c r="B104" s="14" t="inlineStr">
        <is>
          <t>Nicoliens@WearCheckRS.com</t>
        </is>
      </c>
      <c r="C104" s="14" t="inlineStr">
        <is>
          <t>Microsoft Defender for Office 365 (Plan 2)+Power BI Premium Per User+Microsoft 365 E3+Microsoft Fabric (Free)+Microsoft Power Automate Free</t>
        </is>
      </c>
    </row>
    <row r="105">
      <c r="A105" s="14" t="inlineStr">
        <is>
          <t>no-reply-arc-oil@wearcheckrs.com</t>
        </is>
      </c>
      <c r="B105" s="14" t="inlineStr">
        <is>
          <t>no-reply-arc-oil@WearCheckRS.com</t>
        </is>
      </c>
      <c r="C105" s="14" t="inlineStr">
        <is>
          <t>Microsoft Power Automate Free+Microsoft Defender for Office 365 (Plan 2)+Microsoft 365 Business Standard</t>
        </is>
      </c>
    </row>
    <row r="106">
      <c r="A106" s="14" t="inlineStr">
        <is>
          <t>No Reply</t>
        </is>
      </c>
      <c r="B106" s="14" t="inlineStr">
        <is>
          <t>noreply@WearCheckRS.com</t>
        </is>
      </c>
      <c r="C106" s="14" t="inlineStr">
        <is>
          <t>Microsoft Defender for Office 365 (Plan 2)+Microsoft 365 Business Standard</t>
        </is>
      </c>
    </row>
    <row r="107">
      <c r="A107" s="14" t="inlineStr">
        <is>
          <t>Nomvula  Mkhize</t>
        </is>
      </c>
      <c r="B107" s="14" t="inlineStr">
        <is>
          <t>NomvulaM@WearCheckRS.com</t>
        </is>
      </c>
      <c r="C107" s="14" t="inlineStr">
        <is>
          <t>Microsoft Defender for Office 365 (Plan 2)+Microsoft 365 Business Standard</t>
        </is>
      </c>
    </row>
    <row r="108">
      <c r="A108" s="14" t="inlineStr">
        <is>
          <t>Passwell Mashoeou</t>
        </is>
      </c>
      <c r="B108" s="14" t="inlineStr">
        <is>
          <t>passwell@WearCheckRS.com</t>
        </is>
      </c>
      <c r="C108" s="14" t="inlineStr">
        <is>
          <t>Microsoft Defender for Office 365 (Plan 2)+Microsoft 365 Business Standard</t>
        </is>
      </c>
    </row>
    <row r="109">
      <c r="A109" s="14" t="inlineStr">
        <is>
          <t>Patrick Nel</t>
        </is>
      </c>
      <c r="B109" s="14" t="inlineStr">
        <is>
          <t>Patrick@WearCheckRS.com</t>
        </is>
      </c>
      <c r="C109" s="14" t="inlineStr">
        <is>
          <t>Microsoft 365 Business Standard</t>
        </is>
      </c>
    </row>
    <row r="110">
      <c r="A110" s="14" t="inlineStr">
        <is>
          <t>Peet Peacock</t>
        </is>
      </c>
      <c r="B110" s="14" t="inlineStr">
        <is>
          <t>Peet@WearCheckRS.com</t>
        </is>
      </c>
      <c r="C110" s="14" t="inlineStr">
        <is>
          <t>Microsoft Defender for Office 365 (Plan 2)+Microsoft 365 E3</t>
        </is>
      </c>
    </row>
    <row r="111">
      <c r="A111" s="14" t="inlineStr">
        <is>
          <t>Percy Hall</t>
        </is>
      </c>
      <c r="B111" s="14" t="inlineStr">
        <is>
          <t>Percy@WearCheckRS.com</t>
        </is>
      </c>
      <c r="C111" s="14" t="inlineStr">
        <is>
          <t>Microsoft Defender for Office 365 (Plan 2)+Microsoft 365 Business Standard</t>
        </is>
      </c>
    </row>
    <row r="112">
      <c r="A112" s="14" t="inlineStr">
        <is>
          <t>Permission Melele</t>
        </is>
      </c>
      <c r="B112" s="14" t="inlineStr">
        <is>
          <t>permission@WearCheckRS.com</t>
        </is>
      </c>
      <c r="C112" s="14" t="inlineStr">
        <is>
          <t>Microsoft Defender for Office 365 (Plan 2)+Microsoft 365 Business Standard</t>
        </is>
      </c>
    </row>
    <row r="113">
      <c r="A113" s="14" t="inlineStr">
        <is>
          <t>Peter</t>
        </is>
      </c>
      <c r="B113" s="14" t="inlineStr">
        <is>
          <t>Peter@WearCheckRS.com</t>
        </is>
      </c>
      <c r="C113" s="14" t="inlineStr">
        <is>
          <t>Microsoft 365 Business Standard</t>
        </is>
      </c>
    </row>
    <row r="114">
      <c r="A114" s="14" t="inlineStr">
        <is>
          <t>Philip Schutte</t>
        </is>
      </c>
      <c r="B114" s="14" t="inlineStr">
        <is>
          <t>philip@WearCheckRS.com</t>
        </is>
      </c>
      <c r="C114" s="14" t="inlineStr">
        <is>
          <t>Microsoft Defender for Office 365 (Plan 2)+Microsoft Fabric (Free)+Microsoft 365 E3+Microsoft Power Automate Free</t>
        </is>
      </c>
    </row>
    <row r="115">
      <c r="A115" s="14" t="inlineStr">
        <is>
          <t>Philip Zoho</t>
        </is>
      </c>
      <c r="B115" s="14" t="inlineStr">
        <is>
          <t>Philip_Zoho@WearCheckRS.com</t>
        </is>
      </c>
      <c r="C115" s="14" t="inlineStr">
        <is>
          <t>Microsoft 365 Business Standard</t>
        </is>
      </c>
    </row>
    <row r="116">
      <c r="A116" s="14" t="inlineStr">
        <is>
          <t>Placido Maculuve</t>
        </is>
      </c>
      <c r="B116" s="14" t="inlineStr">
        <is>
          <t>Placido@WearCheckRS.com</t>
        </is>
      </c>
      <c r="C116" s="14" t="inlineStr">
        <is>
          <t>Microsoft Defender for Office 365 (Plan 2)+Microsoft Fabric (Free)+Microsoft 365 Business Standard</t>
        </is>
      </c>
    </row>
    <row r="117">
      <c r="A117" s="14" t="inlineStr">
        <is>
          <t>Power Bi Gateway Service Account</t>
        </is>
      </c>
      <c r="B117" s="14" t="inlineStr">
        <is>
          <t>srv_acc_pbi_gw@WearCheckRS.com</t>
        </is>
      </c>
      <c r="C117" s="14" t="inlineStr">
        <is>
          <t>Microsoft Power Automate Free+Power BI Premium Per User+Exchange Online (Plan 1)</t>
        </is>
      </c>
    </row>
    <row r="118">
      <c r="A118" s="14" t="inlineStr">
        <is>
          <t>Printer  Account</t>
        </is>
      </c>
      <c r="B118" s="14" t="inlineStr">
        <is>
          <t>printer@WearCheckRS.com</t>
        </is>
      </c>
      <c r="C118" s="14" t="inlineStr">
        <is>
          <t>Exchange Online (Plan 1)</t>
        </is>
      </c>
    </row>
    <row r="119">
      <c r="A119" s="14" t="inlineStr">
        <is>
          <t>Rakcal Balaram</t>
        </is>
      </c>
      <c r="B119" s="14" t="inlineStr">
        <is>
          <t>rakcal@WearCheckRS.com</t>
        </is>
      </c>
      <c r="C119" s="14" t="inlineStr">
        <is>
          <t>Microsoft Defender for Office 365 (Plan 2)+Microsoft 365 Business Standard</t>
        </is>
      </c>
    </row>
    <row r="120">
      <c r="A120" s="14" t="inlineStr">
        <is>
          <t>Reinier Kalp</t>
        </is>
      </c>
      <c r="B120" s="14" t="inlineStr">
        <is>
          <t>reinierk@wearcheckrs.com</t>
        </is>
      </c>
      <c r="C120" s="14" t="inlineStr">
        <is>
          <t>Microsoft 365 Business Premium+Microsoft Defender for Office 365 (Plan 2)+Microsoft Power Automate Free+Microsoft Fabric (Free)</t>
        </is>
      </c>
    </row>
    <row r="121">
      <c r="A121" s="14" t="inlineStr">
        <is>
          <t>Remote Analysis Centre Admin</t>
        </is>
      </c>
      <c r="B121" s="14" t="inlineStr">
        <is>
          <t>rac.admin@WearCheckRS.com</t>
        </is>
      </c>
      <c r="C121" s="14" t="inlineStr">
        <is>
          <t>Microsoft Defender for Office 365 (Plan 2)+Microsoft 365 E3</t>
        </is>
      </c>
    </row>
    <row r="122">
      <c r="A122" s="14" t="inlineStr">
        <is>
          <t>Riaan De Beer</t>
        </is>
      </c>
      <c r="B122" s="14" t="inlineStr">
        <is>
          <t>RiaandB@WearCheckRS.com</t>
        </is>
      </c>
      <c r="C122" s="14" t="inlineStr">
        <is>
          <t>Microsoft Defender for Office 365 (Plan 2)+Microsoft Fabric (Free)+Microsoft 365 Business Standard+Microsoft Power Automate Free</t>
        </is>
      </c>
    </row>
    <row r="123">
      <c r="A123" s="14" t="inlineStr">
        <is>
          <t>Riaan Du Plooy</t>
        </is>
      </c>
      <c r="B123" s="14" t="inlineStr">
        <is>
          <t>RiaanDP@WearCheckRS.com</t>
        </is>
      </c>
      <c r="C123" s="14" t="inlineStr">
        <is>
          <t>Microsoft 365 Business Premium+Microsoft Defender for Office 365 (Plan 2)</t>
        </is>
      </c>
    </row>
    <row r="124">
      <c r="A124" s="14" t="inlineStr">
        <is>
          <t>Roger Henwood</t>
        </is>
      </c>
      <c r="B124" s="14" t="inlineStr">
        <is>
          <t>RogerH@WearCheckRS.com</t>
        </is>
      </c>
      <c r="C124" s="14" t="inlineStr">
        <is>
          <t>Microsoft Defender for Office 365 (Plan 2)+Microsoft Power Automate Free+Microsoft 365 Business Standard</t>
        </is>
      </c>
    </row>
    <row r="125">
      <c r="A125" s="14" t="inlineStr">
        <is>
          <t>Rohan Willer</t>
        </is>
      </c>
      <c r="B125" s="14" t="inlineStr">
        <is>
          <t>rohan@WearCheckRS.com</t>
        </is>
      </c>
      <c r="C125" s="14" t="inlineStr">
        <is>
          <t>Microsoft 365 Business Premium+Microsoft Defender for Office 365 (Plan 2)+Microsoft Power Automate Free</t>
        </is>
      </c>
    </row>
    <row r="126">
      <c r="A126" s="14" t="inlineStr">
        <is>
          <t>Rynhardt Meyer</t>
        </is>
      </c>
      <c r="B126" s="14" t="inlineStr">
        <is>
          <t>Rynhardt@WearCheckRS.com</t>
        </is>
      </c>
      <c r="C126" s="14" t="inlineStr">
        <is>
          <t>Microsoft Defender for Office 365 (Plan 2)+Microsoft 365 Business Standard</t>
        </is>
      </c>
    </row>
    <row r="127">
      <c r="A127" s="14" t="inlineStr">
        <is>
          <t>Rynhardt Smit</t>
        </is>
      </c>
      <c r="B127" s="14" t="inlineStr">
        <is>
          <t>Rynhardt.Smit@WearCheckRS.com</t>
        </is>
      </c>
      <c r="C127" s="14" t="inlineStr">
        <is>
          <t>Microsoft Defender for Office 365 (Plan 2)+Microsoft 365 Business Standard</t>
        </is>
      </c>
    </row>
    <row r="128">
      <c r="A128" s="14" t="inlineStr">
        <is>
          <t>Sergent Thlou</t>
        </is>
      </c>
      <c r="B128" s="14" t="inlineStr">
        <is>
          <t>sergent@WearCheckRS.com</t>
        </is>
      </c>
      <c r="C128" s="14" t="inlineStr">
        <is>
          <t>Microsoft Defender for Office 365 (Plan 2)+Microsoft 365 Business Standard</t>
        </is>
      </c>
    </row>
    <row r="129">
      <c r="A129" s="14" t="inlineStr">
        <is>
          <t>Service Account SQL DB Mail</t>
        </is>
      </c>
      <c r="B129" s="14" t="inlineStr">
        <is>
          <t>srv_acc_sql_mail@WearCheckRS.com</t>
        </is>
      </c>
      <c r="C129" s="14" t="inlineStr">
        <is>
          <t>Exchange Online (Plan 1)</t>
        </is>
      </c>
    </row>
    <row r="130">
      <c r="A130" s="14" t="inlineStr">
        <is>
          <t>Service Account SSRS</t>
        </is>
      </c>
      <c r="B130" s="14" t="inlineStr">
        <is>
          <t>srv_acc_ssrs@WearCheckRS.com</t>
        </is>
      </c>
      <c r="C130" s="14" t="inlineStr">
        <is>
          <t>Power Automate per user plan+Microsoft Power Automate Free</t>
        </is>
      </c>
    </row>
    <row r="131">
      <c r="A131" s="14" t="inlineStr">
        <is>
          <t>Shaun Janse van Rensburg</t>
        </is>
      </c>
      <c r="B131" s="14" t="inlineStr">
        <is>
          <t>shaun@WearCheckRS.com</t>
        </is>
      </c>
      <c r="C131" s="14" t="inlineStr">
        <is>
          <t>Microsoft Defender for Office 365 (Plan 2)+Microsoft 365 Business Standard</t>
        </is>
      </c>
    </row>
    <row r="132">
      <c r="A132" s="14" t="inlineStr">
        <is>
          <t>Shivon Alberts</t>
        </is>
      </c>
      <c r="B132" s="14" t="inlineStr">
        <is>
          <t>Shivon@WearCheckRS.com</t>
        </is>
      </c>
      <c r="C132" s="14" t="inlineStr">
        <is>
          <t>Microsoft 365 Business Premium+Microsoft Defender for Office 365 (Plan 2)+Microsoft Fabric (Free)</t>
        </is>
      </c>
    </row>
    <row r="133">
      <c r="A133" s="14" t="inlineStr">
        <is>
          <t>Simon Difutso</t>
        </is>
      </c>
      <c r="B133" s="14" t="inlineStr">
        <is>
          <t>simondifutso@WearCheckRS.com</t>
        </is>
      </c>
      <c r="C133" s="14" t="inlineStr">
        <is>
          <t>Microsoft Defender for Office 365 (Plan 2)+Microsoft 365 Business Standard</t>
        </is>
      </c>
    </row>
    <row r="134">
      <c r="A134" s="14" t="inlineStr">
        <is>
          <t>Simon Mosima</t>
        </is>
      </c>
      <c r="B134" s="14" t="inlineStr">
        <is>
          <t>Simon@WearCheckRS.com</t>
        </is>
      </c>
      <c r="C134" s="14" t="inlineStr">
        <is>
          <t>Microsoft Defender for Office 365 (Plan 2)+Microsoft 365 Business Standard</t>
        </is>
      </c>
    </row>
    <row r="135">
      <c r="A135" s="14" t="inlineStr">
        <is>
          <t>Sipho Mathibela</t>
        </is>
      </c>
      <c r="B135" s="14" t="inlineStr">
        <is>
          <t>siphom@WearCheckRS.com</t>
        </is>
      </c>
      <c r="C135" s="14" t="inlineStr">
        <is>
          <t>Microsoft Defender for Office 365 (Plan 2)+Microsoft 365 Business Standard</t>
        </is>
      </c>
    </row>
    <row r="136">
      <c r="A136" s="14" t="inlineStr">
        <is>
          <t>Sipho Zwane</t>
        </is>
      </c>
      <c r="B136" s="14" t="inlineStr">
        <is>
          <t>siphoz@WearCheckRS.com</t>
        </is>
      </c>
      <c r="C136" s="14" t="inlineStr">
        <is>
          <t>Microsoft Defender for Office 365 (Plan 2)+Microsoft 365 Business Standard</t>
        </is>
      </c>
    </row>
    <row r="137">
      <c r="A137" s="14" t="inlineStr">
        <is>
          <t>Stephanie Du Plessis</t>
        </is>
      </c>
      <c r="B137" s="14" t="inlineStr">
        <is>
          <t>stephanied@wearcheckrs.com</t>
        </is>
      </c>
      <c r="C137" s="14" t="inlineStr">
        <is>
          <t>Microsoft 365 Business Standard+Microsoft Defender for Office 365 (Plan 2)</t>
        </is>
      </c>
    </row>
    <row r="138">
      <c r="A138" s="14" t="inlineStr">
        <is>
          <t>Teresa Venter</t>
        </is>
      </c>
      <c r="B138" s="14" t="inlineStr">
        <is>
          <t>teresa.venter@WearCheckRS.com</t>
        </is>
      </c>
      <c r="C138" s="14" t="inlineStr">
        <is>
          <t>Microsoft Defender for Office 365 (Plan 2)+Microsoft Power Automate Free+Microsoft 365 Business Standard</t>
        </is>
      </c>
    </row>
    <row r="139">
      <c r="A139" s="14" t="inlineStr">
        <is>
          <t>Thabang Mathumba</t>
        </is>
      </c>
      <c r="B139" s="14" t="inlineStr">
        <is>
          <t>thabang@WearCheckRS.com</t>
        </is>
      </c>
      <c r="C139" s="14" t="inlineStr">
        <is>
          <t>Microsoft Defender for Office 365 (Plan 2)+Microsoft 365 Business Standard</t>
        </is>
      </c>
    </row>
    <row r="140">
      <c r="A140" s="14" t="inlineStr">
        <is>
          <t>Thapelo Mohlala</t>
        </is>
      </c>
      <c r="B140" s="14" t="inlineStr">
        <is>
          <t>Thapelo@WearCheckRS.com</t>
        </is>
      </c>
      <c r="C140" s="14" t="inlineStr">
        <is>
          <t>Microsoft Defender for Office 365 (Plan 2)+Microsoft 365 Business Standard</t>
        </is>
      </c>
    </row>
    <row r="141">
      <c r="A141" s="14" t="inlineStr">
        <is>
          <t>Thomas Mdhlala</t>
        </is>
      </c>
      <c r="B141" s="14" t="inlineStr">
        <is>
          <t>thomas@WearCheckRS.com</t>
        </is>
      </c>
      <c r="C141" s="14" t="inlineStr">
        <is>
          <t>Microsoft Defender for Office 365 (Plan 2)+Microsoft 365 Business Standard</t>
        </is>
      </c>
    </row>
    <row r="142">
      <c r="A142" s="14" t="inlineStr">
        <is>
          <t>Thulani Tembe</t>
        </is>
      </c>
      <c r="B142" s="14" t="inlineStr">
        <is>
          <t>thulani@WearCheckRS.com</t>
        </is>
      </c>
      <c r="C142" s="14" t="inlineStr">
        <is>
          <t>Microsoft Defender for Office 365 (Plan 2)+Microsoft Power Automate Free+Microsoft 365 Business Standard</t>
        </is>
      </c>
    </row>
    <row r="143">
      <c r="A143" s="14" t="inlineStr">
        <is>
          <t>Tonny Simelani</t>
        </is>
      </c>
      <c r="B143" s="14" t="inlineStr">
        <is>
          <t>tonny@WearCheckRS.com</t>
        </is>
      </c>
      <c r="C143" s="14" t="inlineStr">
        <is>
          <t>Microsoft Defender for Office 365 (Plan 2)+Microsoft 365 Business Standard</t>
        </is>
      </c>
    </row>
    <row r="144">
      <c r="A144" s="14" t="inlineStr">
        <is>
          <t>Tsietsi Monnanyne</t>
        </is>
      </c>
      <c r="B144" s="14" t="inlineStr">
        <is>
          <t>tsietsi@WearCheckRS.com</t>
        </is>
      </c>
      <c r="C144" s="14" t="inlineStr">
        <is>
          <t>Microsoft Fabric (Free)+Microsoft 365 Business Standard</t>
        </is>
      </c>
    </row>
    <row r="145">
      <c r="A145" s="14" t="inlineStr">
        <is>
          <t>Tumelo</t>
        </is>
      </c>
      <c r="B145" s="14" t="inlineStr">
        <is>
          <t>tumelo.samancor@WearCheckRS.com</t>
        </is>
      </c>
      <c r="C145" s="14" t="inlineStr">
        <is>
          <t>Microsoft Fabric (Free)</t>
        </is>
      </c>
    </row>
    <row r="146">
      <c r="A146" s="14" t="inlineStr">
        <is>
          <t>Vernon Calvert</t>
        </is>
      </c>
      <c r="B146" s="14" t="inlineStr">
        <is>
          <t>Vernon@WearCheckRS.com</t>
        </is>
      </c>
      <c r="C146" s="14" t="inlineStr">
        <is>
          <t>Microsoft Defender for Office 365 (Plan 2)+Microsoft 365 Business Standard</t>
        </is>
      </c>
    </row>
    <row r="147">
      <c r="A147" s="14" t="inlineStr">
        <is>
          <t>WCKRS-HSEQ</t>
        </is>
      </c>
      <c r="B147" s="14" t="inlineStr">
        <is>
          <t>HSEQ@WearCheckRS.com</t>
        </is>
      </c>
      <c r="C147" s="14" t="inlineStr">
        <is>
          <t>Microsoft Defender for Office 365 (Plan 2)+Microsoft 365 E3</t>
        </is>
      </c>
    </row>
    <row r="148">
      <c r="A148" s="14" t="inlineStr">
        <is>
          <t>Wihan Willer</t>
        </is>
      </c>
      <c r="B148" s="14" t="inlineStr">
        <is>
          <t>Wihan@WearCheckRS.com</t>
        </is>
      </c>
      <c r="C148" s="14" t="inlineStr">
        <is>
          <t>Microsoft Defender for Office 365 (Plan 2)+Microsoft 365 Business Standard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16"/>
  <autoFilter ref="A1:C14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N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50" customWidth="1" min="2" max="2"/>
    <col width="47" customWidth="1" min="3" max="3"/>
    <col width="33" customWidth="1" min="4" max="4"/>
    <col width="18" customWidth="1" min="5" max="5"/>
    <col width="13" customWidth="1" min="6" max="6"/>
    <col width="20" customWidth="1" min="7" max="7"/>
    <col width="13" customWidth="1" min="8" max="8"/>
    <col width="18" customWidth="1" min="9" max="9"/>
    <col width="20" customWidth="1" min="10" max="10"/>
    <col width="50" customWidth="1" min="11" max="11"/>
    <col width="20" customWidth="1" min="12" max="12"/>
    <col width="50" customWidth="1" min="13" max="13"/>
    <col width="50" customWidth="1" min="14" max="14"/>
  </cols>
  <sheetData>
    <row r="1">
      <c r="A1" s="13" t="inlineStr">
        <is>
          <t>Licensed Display Name</t>
        </is>
      </c>
      <c r="B1" s="13" t="inlineStr">
        <is>
          <t>Licensed Email</t>
        </is>
      </c>
      <c r="C1" s="13" t="inlineStr">
        <is>
          <t>Matched Employee Name</t>
        </is>
      </c>
      <c r="D1" s="13" t="inlineStr">
        <is>
          <t>Candidate Employee Email</t>
        </is>
      </c>
      <c r="E1" s="13" t="inlineStr">
        <is>
          <t>Employee Number</t>
        </is>
      </c>
      <c r="F1" s="13" t="inlineStr">
        <is>
          <t>Division</t>
        </is>
      </c>
      <c r="G1" s="13" t="inlineStr">
        <is>
          <t>Match Status</t>
        </is>
      </c>
      <c r="H1" s="13" t="inlineStr">
        <is>
          <t>Confidence</t>
        </is>
      </c>
      <c r="I1" s="13" t="inlineStr">
        <is>
          <t>Review Required</t>
        </is>
      </c>
      <c r="J1" s="13" t="inlineStr">
        <is>
          <t>User Status</t>
        </is>
      </c>
      <c r="K1" s="13" t="inlineStr">
        <is>
          <t>Mapping Note</t>
        </is>
      </c>
      <c r="L1" s="13" t="inlineStr">
        <is>
          <t>License SKU Count</t>
        </is>
      </c>
      <c r="M1" s="13" t="inlineStr">
        <is>
          <t>All Licenses Raw</t>
        </is>
      </c>
      <c r="N1" s="13" t="inlineStr">
        <is>
          <t>Duplicate Flag</t>
        </is>
      </c>
    </row>
    <row r="2">
      <c r="A2" s="14" t="inlineStr">
        <is>
          <t>Admin</t>
        </is>
      </c>
      <c r="B2" s="14" t="inlineStr">
        <is>
          <t>admin@WearCheckRS.com</t>
        </is>
      </c>
      <c r="C2" s="14" t="n"/>
      <c r="D2" s="14" t="inlineStr"/>
      <c r="E2" s="14" t="n"/>
      <c r="F2" s="14" t="inlineStr">
        <is>
          <t>RS</t>
        </is>
      </c>
      <c r="G2" s="14" t="inlineStr">
        <is>
          <t>Mapped by rule</t>
        </is>
      </c>
      <c r="H2" s="14" t="inlineStr">
        <is>
          <t>High</t>
        </is>
      </c>
      <c r="I2" s="14" t="inlineStr">
        <is>
          <t>No</t>
        </is>
      </c>
      <c r="J2" s="14" t="inlineStr">
        <is>
          <t>Active</t>
        </is>
      </c>
      <c r="K2" s="14" t="inlineStr">
        <is>
          <t>Generic/shared/service account defaulted to RS per instruction</t>
        </is>
      </c>
      <c r="L2" s="14" t="n">
        <v>3</v>
      </c>
      <c r="M2" s="14" t="inlineStr">
        <is>
          <t>Microsoft Defender for Office 365 (Plan 2)+Microsoft Fabric (Free)+Microsoft 365 E3</t>
        </is>
      </c>
      <c r="N2" s="14" t="inlineStr"/>
    </row>
    <row r="3">
      <c r="A3" s="14" t="inlineStr">
        <is>
          <t>Adri Ludick</t>
        </is>
      </c>
      <c r="B3" s="14" t="inlineStr">
        <is>
          <t>A.Ludick@WearCheckRS.com</t>
        </is>
      </c>
      <c r="C3" s="14" t="inlineStr">
        <is>
          <t>Adri   Ludick</t>
        </is>
      </c>
      <c r="D3" s="14" t="inlineStr">
        <is>
          <t>a.ludick@wearcheckRS.com</t>
        </is>
      </c>
      <c r="E3" s="14" t="inlineStr">
        <is>
          <t>WC492</t>
        </is>
      </c>
      <c r="F3" s="14" t="inlineStr">
        <is>
          <t>RS</t>
        </is>
      </c>
      <c r="G3" s="14" t="inlineStr">
        <is>
          <t>Matched</t>
        </is>
      </c>
      <c r="H3" s="14" t="inlineStr">
        <is>
          <t>High</t>
        </is>
      </c>
      <c r="I3" s="14" t="inlineStr">
        <is>
          <t>No</t>
        </is>
      </c>
      <c r="J3" s="14" t="inlineStr">
        <is>
          <t>Active</t>
        </is>
      </c>
      <c r="K3" s="14" t="inlineStr">
        <is>
          <t>Exact company email match</t>
        </is>
      </c>
      <c r="L3" s="14" t="n">
        <v>4</v>
      </c>
      <c r="M3" s="14" t="inlineStr">
        <is>
          <t>Microsoft 365 Business Premium+Microsoft Copilot Studio Viral Trial+Microsoft Defender for Office 365 (Plan 2)+Microsoft Power Automate Free</t>
        </is>
      </c>
      <c r="N3" s="14" t="inlineStr"/>
    </row>
    <row r="4">
      <c r="A4" s="15" t="inlineStr">
        <is>
          <t>Adri Ludick Old</t>
        </is>
      </c>
      <c r="B4" s="15" t="inlineStr">
        <is>
          <t>Adri.ludick@WearCheckRS.com</t>
        </is>
      </c>
      <c r="C4" s="15" t="inlineStr"/>
      <c r="D4" s="15" t="inlineStr"/>
      <c r="E4" s="15" t="inlineStr"/>
      <c r="F4" s="15" t="inlineStr">
        <is>
          <t>RS</t>
        </is>
      </c>
      <c r="G4" s="15" t="inlineStr">
        <is>
          <t>Ex-Employee</t>
        </is>
      </c>
      <c r="H4" s="15" t="inlineStr">
        <is>
          <t>High</t>
        </is>
      </c>
      <c r="I4" s="15" t="inlineStr">
        <is>
          <t>No</t>
        </is>
      </c>
      <c r="J4" s="15" t="inlineStr">
        <is>
          <t>Ex-Employee</t>
        </is>
      </c>
      <c r="K4" s="15" t="inlineStr">
        <is>
          <t>Old account — new email A.Ludick@WearCheckRS.com is active. FLAG: Remove this licence.</t>
        </is>
      </c>
      <c r="L4" s="15" t="n">
        <v>3</v>
      </c>
      <c r="M4" s="15" t="inlineStr">
        <is>
          <t>Microsoft Defender for Office 365 (Plan 2)+Microsoft Power Automate Free+Microsoft 365 Business Standard</t>
        </is>
      </c>
      <c r="N4" s="15" t="inlineStr"/>
    </row>
    <row r="5">
      <c r="A5" s="14" t="inlineStr">
        <is>
          <t>Adriaan Bouwer</t>
        </is>
      </c>
      <c r="B5" s="14" t="inlineStr">
        <is>
          <t>adriaanb@WearCheckRS.com</t>
        </is>
      </c>
      <c r="C5" s="14" t="inlineStr">
        <is>
          <t>Adriaan Pertus Johannes Bouwer</t>
        </is>
      </c>
      <c r="D5" s="14" t="inlineStr">
        <is>
          <t>adriaanb@wearcheckrs.com</t>
        </is>
      </c>
      <c r="E5" s="14" t="inlineStr">
        <is>
          <t>WC383</t>
        </is>
      </c>
      <c r="F5" s="14" t="inlineStr">
        <is>
          <t>RS</t>
        </is>
      </c>
      <c r="G5" s="14" t="inlineStr">
        <is>
          <t>Matched</t>
        </is>
      </c>
      <c r="H5" s="14" t="inlineStr">
        <is>
          <t>High</t>
        </is>
      </c>
      <c r="I5" s="14" t="inlineStr">
        <is>
          <t>No</t>
        </is>
      </c>
      <c r="J5" s="14" t="inlineStr">
        <is>
          <t>Active</t>
        </is>
      </c>
      <c r="K5" s="14" t="inlineStr">
        <is>
          <t>Exact company email match</t>
        </is>
      </c>
      <c r="L5" s="14" t="n">
        <v>4</v>
      </c>
      <c r="M5" s="14" t="inlineStr">
        <is>
          <t>Microsoft Defender for Office 365 (Plan 2)+Microsoft Power Automate Free+Microsoft 365 Business Standard+Microsoft Fabric (Free)</t>
        </is>
      </c>
      <c r="N5" s="14" t="inlineStr"/>
    </row>
    <row r="6">
      <c r="A6" s="14" t="inlineStr">
        <is>
          <t>AFS Application</t>
        </is>
      </c>
      <c r="B6" s="14" t="inlineStr">
        <is>
          <t>afs_app@WearCheckRS.com</t>
        </is>
      </c>
      <c r="C6" s="14" t="n"/>
      <c r="D6" s="14" t="inlineStr"/>
      <c r="E6" s="14" t="n"/>
      <c r="F6" s="14" t="inlineStr">
        <is>
          <t>AFS</t>
        </is>
      </c>
      <c r="G6" s="14" t="inlineStr">
        <is>
          <t>Mapped by rule</t>
        </is>
      </c>
      <c r="H6" s="14" t="inlineStr">
        <is>
          <t>High</t>
        </is>
      </c>
      <c r="I6" s="14" t="inlineStr">
        <is>
          <t>No</t>
        </is>
      </c>
      <c r="J6" s="14" t="inlineStr">
        <is>
          <t>Active</t>
        </is>
      </c>
      <c r="K6" s="14" t="inlineStr">
        <is>
          <t>Generic/shared/service account defaulted to RS per instruction</t>
        </is>
      </c>
      <c r="L6" s="14" t="n">
        <v>2</v>
      </c>
      <c r="M6" s="14" t="inlineStr">
        <is>
          <t>Microsoft Power Automate Free+Exchange Online (Plan 1)</t>
        </is>
      </c>
      <c r="N6" s="14" t="inlineStr"/>
    </row>
    <row r="7">
      <c r="A7" s="14" t="inlineStr">
        <is>
          <t>Alex Outram</t>
        </is>
      </c>
      <c r="B7" s="14" t="inlineStr">
        <is>
          <t>Alex@WearCheckRS.com</t>
        </is>
      </c>
      <c r="C7" s="14" t="inlineStr">
        <is>
          <t>Alexander Outram</t>
        </is>
      </c>
      <c r="D7" s="14" t="inlineStr">
        <is>
          <t>alex@wearcheckrs.com</t>
        </is>
      </c>
      <c r="E7" s="14" t="inlineStr">
        <is>
          <t>WEC105</t>
        </is>
      </c>
      <c r="F7" s="14" t="inlineStr">
        <is>
          <t>RS</t>
        </is>
      </c>
      <c r="G7" s="14" t="inlineStr">
        <is>
          <t>Matched</t>
        </is>
      </c>
      <c r="H7" s="14" t="inlineStr">
        <is>
          <t>High</t>
        </is>
      </c>
      <c r="I7" s="14" t="inlineStr">
        <is>
          <t>No</t>
        </is>
      </c>
      <c r="J7" s="14" t="inlineStr">
        <is>
          <t>Active</t>
        </is>
      </c>
      <c r="K7" s="14" t="inlineStr">
        <is>
          <t>Exact company email match</t>
        </is>
      </c>
      <c r="L7" s="14" t="n">
        <v>4</v>
      </c>
      <c r="M7" s="14" t="inlineStr">
        <is>
          <t>Microsoft Defender for Office 365 (Plan 2)+Microsoft Power Automate Free+Microsoft Fabric (Free)+Microsoft 365 Business Standard</t>
        </is>
      </c>
      <c r="N7" s="14" t="inlineStr"/>
    </row>
    <row r="8">
      <c r="A8" s="14" t="inlineStr">
        <is>
          <t>Allan Stuurman</t>
        </is>
      </c>
      <c r="B8" s="14" t="inlineStr">
        <is>
          <t>Allan@WearCheckRS.com</t>
        </is>
      </c>
      <c r="C8" s="14" t="inlineStr">
        <is>
          <t>Allan Stuurman</t>
        </is>
      </c>
      <c r="D8" s="14" t="inlineStr">
        <is>
          <t>allan@wearcheckrs.com</t>
        </is>
      </c>
      <c r="E8" s="14" t="inlineStr">
        <is>
          <t>WEC123</t>
        </is>
      </c>
      <c r="F8" s="14" t="inlineStr">
        <is>
          <t>RS</t>
        </is>
      </c>
      <c r="G8" s="14" t="inlineStr">
        <is>
          <t>Matched</t>
        </is>
      </c>
      <c r="H8" s="14" t="inlineStr">
        <is>
          <t>High</t>
        </is>
      </c>
      <c r="I8" s="14" t="inlineStr">
        <is>
          <t>No</t>
        </is>
      </c>
      <c r="J8" s="14" t="inlineStr">
        <is>
          <t>Active</t>
        </is>
      </c>
      <c r="K8" s="14" t="inlineStr">
        <is>
          <t>Exact company email match</t>
        </is>
      </c>
      <c r="L8" s="14" t="n">
        <v>2</v>
      </c>
      <c r="M8" s="14" t="inlineStr">
        <is>
          <t>Microsoft Defender for Office 365 (Plan 2)+Microsoft 365 Business Standard</t>
        </is>
      </c>
      <c r="N8" s="14" t="inlineStr"/>
    </row>
    <row r="9">
      <c r="A9" s="14" t="inlineStr">
        <is>
          <t>Andrew Robb</t>
        </is>
      </c>
      <c r="B9" s="14" t="inlineStr">
        <is>
          <t>Andrew@wearcheckrs.com</t>
        </is>
      </c>
      <c r="C9" s="14" t="inlineStr">
        <is>
          <t>Andrew John  Walker Robb</t>
        </is>
      </c>
      <c r="D9" s="14" t="inlineStr">
        <is>
          <t>andrew@wearcheckRS.com</t>
        </is>
      </c>
      <c r="E9" s="14" t="inlineStr">
        <is>
          <t>WEC103</t>
        </is>
      </c>
      <c r="F9" s="14" t="inlineStr">
        <is>
          <t>RS</t>
        </is>
      </c>
      <c r="G9" s="14" t="inlineStr">
        <is>
          <t>Matched</t>
        </is>
      </c>
      <c r="H9" s="14" t="inlineStr">
        <is>
          <t>High</t>
        </is>
      </c>
      <c r="I9" s="14" t="inlineStr">
        <is>
          <t>No</t>
        </is>
      </c>
      <c r="J9" s="14" t="inlineStr">
        <is>
          <t>Active</t>
        </is>
      </c>
      <c r="K9" s="14" t="inlineStr">
        <is>
          <t>Exact company email match</t>
        </is>
      </c>
      <c r="L9" s="14" t="n">
        <v>3</v>
      </c>
      <c r="M9" s="14" t="inlineStr">
        <is>
          <t>Microsoft 365 Business Premium+Microsoft Defender for Office 365 (Plan 2)+Microsoft Fabric (Free)</t>
        </is>
      </c>
      <c r="N9" s="14" t="inlineStr"/>
    </row>
    <row r="10">
      <c r="A10" s="14" t="inlineStr">
        <is>
          <t>Annah Modutwane</t>
        </is>
      </c>
      <c r="B10" s="14" t="inlineStr">
        <is>
          <t>annahm@WearCheckRS.com</t>
        </is>
      </c>
      <c r="C10" s="14" t="inlineStr">
        <is>
          <t>Annah Seipone Modutwane</t>
        </is>
      </c>
      <c r="D10" s="14" t="inlineStr">
        <is>
          <t>annahm@wearcheckrs.com</t>
        </is>
      </c>
      <c r="E10" s="14" t="inlineStr">
        <is>
          <t>WC484</t>
        </is>
      </c>
      <c r="F10" s="14" t="inlineStr">
        <is>
          <t>RS</t>
        </is>
      </c>
      <c r="G10" s="14" t="inlineStr">
        <is>
          <t>Matched</t>
        </is>
      </c>
      <c r="H10" s="14" t="inlineStr">
        <is>
          <t>High</t>
        </is>
      </c>
      <c r="I10" s="14" t="inlineStr">
        <is>
          <t>No</t>
        </is>
      </c>
      <c r="J10" s="14" t="inlineStr">
        <is>
          <t>Active</t>
        </is>
      </c>
      <c r="K10" s="14" t="inlineStr">
        <is>
          <t>Exact company email match</t>
        </is>
      </c>
      <c r="L10" s="14" t="n">
        <v>4</v>
      </c>
      <c r="M10" s="14" t="inlineStr">
        <is>
          <t>Microsoft Defender for Office 365 (Plan 2)+Microsoft Power Automate Free+Microsoft Fabric (Free)+Microsoft 365 Business Standard</t>
        </is>
      </c>
      <c r="N10" s="14" t="inlineStr"/>
    </row>
    <row r="11">
      <c r="A11" s="14" t="inlineStr">
        <is>
          <t>Annemie Willer</t>
        </is>
      </c>
      <c r="B11" s="14" t="inlineStr">
        <is>
          <t>annemie@WearCheckRS.com</t>
        </is>
      </c>
      <c r="C11" s="14" t="inlineStr">
        <is>
          <t>Annemie Willer</t>
        </is>
      </c>
      <c r="D11" s="14" t="inlineStr">
        <is>
          <t>annemie@wearcheckrs.com</t>
        </is>
      </c>
      <c r="E11" s="14" t="inlineStr">
        <is>
          <t>WC319</t>
        </is>
      </c>
      <c r="F11" s="14" t="inlineStr">
        <is>
          <t>RS</t>
        </is>
      </c>
      <c r="G11" s="14" t="inlineStr">
        <is>
          <t>Matched</t>
        </is>
      </c>
      <c r="H11" s="14" t="inlineStr">
        <is>
          <t>High</t>
        </is>
      </c>
      <c r="I11" s="14" t="inlineStr">
        <is>
          <t>No</t>
        </is>
      </c>
      <c r="J11" s="14" t="inlineStr">
        <is>
          <t>Active</t>
        </is>
      </c>
      <c r="K11" s="14" t="inlineStr">
        <is>
          <t>Exact company email match</t>
        </is>
      </c>
      <c r="L11" s="14" t="n">
        <v>7</v>
      </c>
      <c r="M11" s="14" t="inlineStr">
        <is>
          <t>Microsoft Defender for Office 365 (Plan 2)+Power BI Premium Per User+Microsoft Copilot Studio Viral Trial+Microsoft Power Apps Plan 2 Trial+Microsoft 365 E3+Microsoft Fabric (Free)+Microsoft Power Automate Free</t>
        </is>
      </c>
      <c r="N11" s="14" t="inlineStr"/>
    </row>
    <row r="12">
      <c r="A12" s="14" t="inlineStr">
        <is>
          <t>Antonio Ehrke</t>
        </is>
      </c>
      <c r="B12" s="14" t="inlineStr">
        <is>
          <t>Antonio.Ehrke@WearCheckRS.com</t>
        </is>
      </c>
      <c r="C12" s="14" t="inlineStr">
        <is>
          <t>Antonio Ehrke</t>
        </is>
      </c>
      <c r="D12" s="14" t="inlineStr">
        <is>
          <t>antonio.ehrke@wearcheckrs.com</t>
        </is>
      </c>
      <c r="E12" s="14" t="inlineStr">
        <is>
          <t>WC503</t>
        </is>
      </c>
      <c r="F12" s="14" t="inlineStr">
        <is>
          <t>AFS</t>
        </is>
      </c>
      <c r="G12" s="14" t="inlineStr">
        <is>
          <t>Matched</t>
        </is>
      </c>
      <c r="H12" s="14" t="inlineStr">
        <is>
          <t>High</t>
        </is>
      </c>
      <c r="I12" s="14" t="inlineStr">
        <is>
          <t>No</t>
        </is>
      </c>
      <c r="J12" s="14" t="inlineStr">
        <is>
          <t>Active</t>
        </is>
      </c>
      <c r="K12" s="14" t="inlineStr">
        <is>
          <t>Exact company email match</t>
        </is>
      </c>
      <c r="L12" s="14" t="n">
        <v>2</v>
      </c>
      <c r="M12" s="14" t="inlineStr">
        <is>
          <t>Microsoft Defender for Office 365 (Plan 2)+Microsoft 365 Business Standard</t>
        </is>
      </c>
      <c r="N12" s="14" t="inlineStr"/>
    </row>
    <row r="13">
      <c r="A13" s="14" t="inlineStr">
        <is>
          <t>Armindo Mucacho</t>
        </is>
      </c>
      <c r="B13" s="14" t="inlineStr">
        <is>
          <t>Armindo@WearCheckRS.com</t>
        </is>
      </c>
      <c r="C13" s="14" t="inlineStr">
        <is>
          <t>Armindo Muchacho</t>
        </is>
      </c>
      <c r="D13" s="14" t="inlineStr">
        <is>
          <t>armindo@wearcheckrs.com</t>
        </is>
      </c>
      <c r="E13" s="14" t="inlineStr">
        <is>
          <t>Unknown</t>
        </is>
      </c>
      <c r="F13" s="14" t="inlineStr">
        <is>
          <t>Mozambique</t>
        </is>
      </c>
      <c r="G13" s="14" t="inlineStr">
        <is>
          <t>Matched</t>
        </is>
      </c>
      <c r="H13" s="14" t="inlineStr">
        <is>
          <t>High</t>
        </is>
      </c>
      <c r="I13" s="14" t="inlineStr">
        <is>
          <t>No</t>
        </is>
      </c>
      <c r="J13" s="14" t="inlineStr">
        <is>
          <t>Active</t>
        </is>
      </c>
      <c r="K13" s="14" t="inlineStr">
        <is>
          <t>Exact company email match</t>
        </is>
      </c>
      <c r="L13" s="14" t="n">
        <v>3</v>
      </c>
      <c r="M13" s="14" t="inlineStr">
        <is>
          <t>Microsoft Defender for Office 365 (Plan 2)+Microsoft Fabric (Free)+Microsoft 365 Business Standard</t>
        </is>
      </c>
      <c r="N13" s="14" t="inlineStr"/>
    </row>
    <row r="14">
      <c r="A14" s="14" t="inlineStr">
        <is>
          <t>Arnold van Zyl</t>
        </is>
      </c>
      <c r="B14" s="14" t="inlineStr">
        <is>
          <t>Arnold@WearCheckRS.com</t>
        </is>
      </c>
      <c r="C14" s="14" t="inlineStr">
        <is>
          <t>Arnoldus Johannes van Zyl</t>
        </is>
      </c>
      <c r="D14" s="14" t="inlineStr">
        <is>
          <t>Arnold@WearCheckRS.com</t>
        </is>
      </c>
      <c r="E14" s="14" t="inlineStr">
        <is>
          <t>WC526</t>
        </is>
      </c>
      <c r="F14" s="14" t="inlineStr">
        <is>
          <t>AFS</t>
        </is>
      </c>
      <c r="G14" s="14" t="inlineStr">
        <is>
          <t>Matched</t>
        </is>
      </c>
      <c r="H14" s="14" t="inlineStr">
        <is>
          <t>High</t>
        </is>
      </c>
      <c r="I14" s="14" t="inlineStr">
        <is>
          <t>No</t>
        </is>
      </c>
      <c r="J14" s="14" t="inlineStr">
        <is>
          <t>Active</t>
        </is>
      </c>
      <c r="K14" s="14" t="inlineStr">
        <is>
          <t>Exact company email match</t>
        </is>
      </c>
      <c r="L14" s="14" t="n">
        <v>2</v>
      </c>
      <c r="M14" s="14" t="inlineStr">
        <is>
          <t>Microsoft Defender for Office 365 (Plan 2)+Microsoft 365 Business Standard</t>
        </is>
      </c>
      <c r="N14" s="14" t="inlineStr"/>
    </row>
    <row r="15">
      <c r="A15" s="14" t="inlineStr">
        <is>
          <t>Aubrey Tshabalala</t>
        </is>
      </c>
      <c r="B15" s="14" t="inlineStr">
        <is>
          <t>Aubrey@WearCheckRS.com</t>
        </is>
      </c>
      <c r="C15" s="14" t="inlineStr">
        <is>
          <t>Aubrey Tshabalala</t>
        </is>
      </c>
      <c r="D15" s="14" t="inlineStr">
        <is>
          <t>aubrey@wearcheckRS.com</t>
        </is>
      </c>
      <c r="E15" s="14" t="inlineStr">
        <is>
          <t>WEC114</t>
        </is>
      </c>
      <c r="F15" s="14" t="inlineStr">
        <is>
          <t>RS</t>
        </is>
      </c>
      <c r="G15" s="14" t="inlineStr">
        <is>
          <t>Matched</t>
        </is>
      </c>
      <c r="H15" s="14" t="inlineStr">
        <is>
          <t>High</t>
        </is>
      </c>
      <c r="I15" s="14" t="inlineStr">
        <is>
          <t>No</t>
        </is>
      </c>
      <c r="J15" s="14" t="inlineStr">
        <is>
          <t>Active</t>
        </is>
      </c>
      <c r="K15" s="14" t="inlineStr">
        <is>
          <t>Exact company email match</t>
        </is>
      </c>
      <c r="L15" s="14" t="n">
        <v>2</v>
      </c>
      <c r="M15" s="14" t="inlineStr">
        <is>
          <t>Microsoft Defender for Office 365 (Plan 2)+Microsoft 365 Business Standard</t>
        </is>
      </c>
      <c r="N15" s="14" t="inlineStr"/>
    </row>
    <row r="16">
      <c r="A16" s="14" t="inlineStr">
        <is>
          <t>Bernard Lopi Molangoane</t>
        </is>
      </c>
      <c r="B16" s="14" t="inlineStr">
        <is>
          <t>lopi@WearCheckRS.com</t>
        </is>
      </c>
      <c r="C16" s="14" t="inlineStr">
        <is>
          <t>Bernard Lopi Molangoane</t>
        </is>
      </c>
      <c r="D16" s="14" t="inlineStr">
        <is>
          <t>lopim@wearcheck.co.za</t>
        </is>
      </c>
      <c r="E16" s="14" t="inlineStr">
        <is>
          <t>WC269</t>
        </is>
      </c>
      <c r="F16" s="14" t="inlineStr">
        <is>
          <t>RS</t>
        </is>
      </c>
      <c r="G16" s="14" t="inlineStr">
        <is>
          <t>Matched</t>
        </is>
      </c>
      <c r="H16" s="14" t="inlineStr">
        <is>
          <t>Medium</t>
        </is>
      </c>
      <c r="I16" s="14" t="inlineStr">
        <is>
          <t>No</t>
        </is>
      </c>
      <c r="J16" s="14" t="inlineStr">
        <is>
          <t>Active</t>
        </is>
      </c>
      <c r="K16" s="14" t="inlineStr">
        <is>
          <t>Matched via exact name</t>
        </is>
      </c>
      <c r="L16" s="14" t="n">
        <v>2</v>
      </c>
      <c r="M16" s="14" t="inlineStr">
        <is>
          <t>Microsoft Defender for Office 365 (Plan 2)+Microsoft 365 Business Standard</t>
        </is>
      </c>
      <c r="N16" s="14" t="inlineStr"/>
    </row>
    <row r="17">
      <c r="A17" s="14" t="inlineStr">
        <is>
          <t>Betty Monyepao</t>
        </is>
      </c>
      <c r="B17" s="14" t="inlineStr">
        <is>
          <t>betty@WearCheckRS.com</t>
        </is>
      </c>
      <c r="C17" s="14" t="inlineStr">
        <is>
          <t>Mmatapa Betty Monyepao</t>
        </is>
      </c>
      <c r="D17" s="14" t="inlineStr">
        <is>
          <t>betty@wearcheckrs.com</t>
        </is>
      </c>
      <c r="E17" s="14" t="inlineStr">
        <is>
          <t>WC465</t>
        </is>
      </c>
      <c r="F17" s="14" t="inlineStr">
        <is>
          <t>RS</t>
        </is>
      </c>
      <c r="G17" s="14" t="inlineStr">
        <is>
          <t>Matched</t>
        </is>
      </c>
      <c r="H17" s="14" t="inlineStr">
        <is>
          <t>High</t>
        </is>
      </c>
      <c r="I17" s="14" t="inlineStr">
        <is>
          <t>No</t>
        </is>
      </c>
      <c r="J17" s="14" t="inlineStr">
        <is>
          <t>Active</t>
        </is>
      </c>
      <c r="K17" s="14" t="inlineStr">
        <is>
          <t>Exact company email match</t>
        </is>
      </c>
      <c r="L17" s="14" t="n">
        <v>2</v>
      </c>
      <c r="M17" s="14" t="inlineStr">
        <is>
          <t>Microsoft Defender for Office 365 (Plan 2)+Microsoft 365 Business Standard</t>
        </is>
      </c>
      <c r="N17" s="14" t="inlineStr"/>
    </row>
    <row r="18">
      <c r="A18" s="14" t="inlineStr">
        <is>
          <t>Bianka De Beer</t>
        </is>
      </c>
      <c r="B18" s="14" t="inlineStr">
        <is>
          <t>Bianka@WearCheckRS.com</t>
        </is>
      </c>
      <c r="C18" s="14" t="inlineStr">
        <is>
          <t>Bianka de Beer</t>
        </is>
      </c>
      <c r="D18" s="14" t="inlineStr">
        <is>
          <t>Bianka@WearCheckRS.com</t>
        </is>
      </c>
      <c r="E18" s="14" t="inlineStr">
        <is>
          <t>WEC142</t>
        </is>
      </c>
      <c r="F18" s="14" t="inlineStr">
        <is>
          <t>RS</t>
        </is>
      </c>
      <c r="G18" s="14" t="inlineStr">
        <is>
          <t>Matched</t>
        </is>
      </c>
      <c r="H18" s="14" t="inlineStr">
        <is>
          <t>High</t>
        </is>
      </c>
      <c r="I18" s="14" t="inlineStr">
        <is>
          <t>No</t>
        </is>
      </c>
      <c r="J18" s="14" t="inlineStr">
        <is>
          <t>Active</t>
        </is>
      </c>
      <c r="K18" s="14" t="inlineStr">
        <is>
          <t>Exact company email match</t>
        </is>
      </c>
      <c r="L18" s="14" t="n">
        <v>9</v>
      </c>
      <c r="M18" s="14" t="inlineStr">
        <is>
          <t>Microsoft Power Automate Free+Microsoft Power Apps Plan 2 Trial+Microsoft Fabric (Free)+Microsoft Copilot Studio Viral Trial+Microsoft Power Apps for Developer+Power Pages vTrial for Makers+Microsoft Defender for Office 365 (Plan 2)+Dynamics 365 Customer Insights Self-Service+Microsoft 365 Business Premium</t>
        </is>
      </c>
      <c r="N18" s="14" t="inlineStr"/>
    </row>
    <row r="19">
      <c r="A19" s="14" t="inlineStr">
        <is>
          <t>Boitumelo Makgamatha</t>
        </is>
      </c>
      <c r="B19" s="14" t="inlineStr">
        <is>
          <t>Boitumelo@WearCheckRS.com</t>
        </is>
      </c>
      <c r="C19" s="14" t="inlineStr"/>
      <c r="D19" s="14" t="inlineStr"/>
      <c r="E19" s="14" t="inlineStr"/>
      <c r="F19" s="14" t="inlineStr">
        <is>
          <t>RS</t>
        </is>
      </c>
      <c r="G19" s="14" t="inlineStr">
        <is>
          <t>Confirmed</t>
        </is>
      </c>
      <c r="H19" s="14" t="inlineStr">
        <is>
          <t>High</t>
        </is>
      </c>
      <c r="I19" s="14" t="inlineStr">
        <is>
          <t>No</t>
        </is>
      </c>
      <c r="J19" s="14" t="inlineStr">
        <is>
          <t>Active</t>
        </is>
      </c>
      <c r="K19" s="14" t="inlineStr">
        <is>
          <t>User now added to employee master (reviewed)</t>
        </is>
      </c>
      <c r="L19" s="14" t="n">
        <v>2</v>
      </c>
      <c r="M19" s="14" t="inlineStr">
        <is>
          <t>Microsoft Defender for Office 365 (Plan 2)+Microsoft 365 Business Standard</t>
        </is>
      </c>
      <c r="N19" s="14" t="inlineStr"/>
    </row>
    <row r="20">
      <c r="A20" s="14" t="inlineStr">
        <is>
          <t>Chicco Tivane</t>
        </is>
      </c>
      <c r="B20" s="14" t="inlineStr">
        <is>
          <t>chicco@WearCheckRS.com</t>
        </is>
      </c>
      <c r="C20" s="14" t="inlineStr">
        <is>
          <t>Chicco Fransisco Tivane</t>
        </is>
      </c>
      <c r="D20" s="14" t="inlineStr">
        <is>
          <t>chicco@wearcheckrs.com</t>
        </is>
      </c>
      <c r="E20" s="14" t="inlineStr">
        <is>
          <t>WC380</t>
        </is>
      </c>
      <c r="F20" s="14" t="inlineStr">
        <is>
          <t>RS</t>
        </is>
      </c>
      <c r="G20" s="14" t="inlineStr">
        <is>
          <t>Matched</t>
        </is>
      </c>
      <c r="H20" s="14" t="inlineStr">
        <is>
          <t>High</t>
        </is>
      </c>
      <c r="I20" s="14" t="inlineStr">
        <is>
          <t>No</t>
        </is>
      </c>
      <c r="J20" s="14" t="inlineStr">
        <is>
          <t>Active</t>
        </is>
      </c>
      <c r="K20" s="14" t="inlineStr">
        <is>
          <t>Exact company email match</t>
        </is>
      </c>
      <c r="L20" s="14" t="n">
        <v>2</v>
      </c>
      <c r="M20" s="14" t="inlineStr">
        <is>
          <t>Microsoft Defender for Office 365 (Plan 2)+Microsoft 365 Business Standard</t>
        </is>
      </c>
      <c r="N20" s="14" t="inlineStr"/>
    </row>
    <row r="21">
      <c r="A21" s="14" t="inlineStr">
        <is>
          <t>Chris Mostert</t>
        </is>
      </c>
      <c r="B21" s="14" t="inlineStr">
        <is>
          <t>ChrisM@wearcheckrs.com</t>
        </is>
      </c>
      <c r="C21" s="14" t="inlineStr">
        <is>
          <t>Chris Mostert</t>
        </is>
      </c>
      <c r="D21" s="14" t="inlineStr">
        <is>
          <t>chrism@wearcheckrs.com</t>
        </is>
      </c>
      <c r="E21" s="14" t="inlineStr">
        <is>
          <t>WEC100</t>
        </is>
      </c>
      <c r="F21" s="14" t="inlineStr">
        <is>
          <t>RS</t>
        </is>
      </c>
      <c r="G21" s="14" t="inlineStr">
        <is>
          <t>Matched</t>
        </is>
      </c>
      <c r="H21" s="14" t="inlineStr">
        <is>
          <t>High</t>
        </is>
      </c>
      <c r="I21" s="14" t="inlineStr">
        <is>
          <t>No</t>
        </is>
      </c>
      <c r="J21" s="14" t="inlineStr">
        <is>
          <t>Active</t>
        </is>
      </c>
      <c r="K21" s="14" t="inlineStr">
        <is>
          <t>Exact company email match</t>
        </is>
      </c>
      <c r="L21" s="14" t="n">
        <v>2</v>
      </c>
      <c r="M21" s="14" t="inlineStr">
        <is>
          <t>Microsoft Defender for Office 365 (Plan 2)+Microsoft 365 Business Standard</t>
        </is>
      </c>
      <c r="N21" s="14" t="inlineStr"/>
    </row>
    <row r="22">
      <c r="A22" s="14" t="inlineStr">
        <is>
          <t>Christene Fourie</t>
        </is>
      </c>
      <c r="B22" s="14" t="inlineStr">
        <is>
          <t>Christene@WearCheckRS.com</t>
        </is>
      </c>
      <c r="C22" s="14" t="inlineStr"/>
      <c r="D22" s="14" t="inlineStr"/>
      <c r="E22" s="14" t="inlineStr"/>
      <c r="F22" s="14" t="inlineStr">
        <is>
          <t>RS</t>
        </is>
      </c>
      <c r="G22" s="14" t="inlineStr">
        <is>
          <t>Confirmed</t>
        </is>
      </c>
      <c r="H22" s="14" t="inlineStr">
        <is>
          <t>High</t>
        </is>
      </c>
      <c r="I22" s="14" t="inlineStr">
        <is>
          <t>No</t>
        </is>
      </c>
      <c r="J22" s="14" t="inlineStr">
        <is>
          <t>Active</t>
        </is>
      </c>
      <c r="K22" s="14" t="inlineStr">
        <is>
          <t>Confirmed email alias match to chrstene@wearcheckrs.com (reviewed)</t>
        </is>
      </c>
      <c r="L22" s="14" t="n">
        <v>3</v>
      </c>
      <c r="M22" s="14" t="inlineStr">
        <is>
          <t>Microsoft Defender for Office 365 (Plan 2)+Microsoft Power Automate Free+Microsoft 365 Business Standard</t>
        </is>
      </c>
      <c r="N22" s="14" t="inlineStr"/>
    </row>
    <row r="23">
      <c r="A23" s="15" t="inlineStr">
        <is>
          <t>Christian Geel</t>
        </is>
      </c>
      <c r="B23" s="15" t="inlineStr">
        <is>
          <t>Christian@WearCheckRS.com</t>
        </is>
      </c>
      <c r="C23" s="15" t="inlineStr"/>
      <c r="D23" s="15" t="inlineStr"/>
      <c r="E23" s="15" t="inlineStr"/>
      <c r="F23" s="15" t="inlineStr">
        <is>
          <t>RS</t>
        </is>
      </c>
      <c r="G23" s="15" t="inlineStr">
        <is>
          <t>Ex-Employee</t>
        </is>
      </c>
      <c r="H23" s="15" t="inlineStr">
        <is>
          <t>High</t>
        </is>
      </c>
      <c r="I23" s="15" t="inlineStr">
        <is>
          <t>No</t>
        </is>
      </c>
      <c r="J23" s="15" t="inlineStr">
        <is>
          <t>Ex-Employee</t>
        </is>
      </c>
      <c r="K23" s="15" t="inlineStr">
        <is>
          <t>No longer an employee. FLAG: Remove licence.</t>
        </is>
      </c>
      <c r="L23" s="15" t="n">
        <v>2</v>
      </c>
      <c r="M23" s="15" t="inlineStr">
        <is>
          <t>Microsoft Fabric (Free)+Microsoft Power Automate Free</t>
        </is>
      </c>
      <c r="N23" s="15" t="inlineStr"/>
    </row>
    <row r="24">
      <c r="A24" s="16" t="inlineStr">
        <is>
          <t>Christie</t>
        </is>
      </c>
      <c r="B24" s="16" t="inlineStr">
        <is>
          <t>christie.samancor@WearCheckRS.com</t>
        </is>
      </c>
      <c r="C24" s="16" t="inlineStr"/>
      <c r="D24" s="16" t="inlineStr"/>
      <c r="E24" s="16" t="inlineStr"/>
      <c r="F24" s="16" t="inlineStr">
        <is>
          <t>RS</t>
        </is>
      </c>
      <c r="G24" s="16" t="inlineStr">
        <is>
          <t>Management Review</t>
        </is>
      </c>
      <c r="H24" s="16" t="inlineStr">
        <is>
          <t>Low</t>
        </is>
      </c>
      <c r="I24" s="16" t="inlineStr">
        <is>
          <t>Yes</t>
        </is>
      </c>
      <c r="J24" s="16" t="inlineStr">
        <is>
          <t>Management Review</t>
        </is>
      </c>
      <c r="K24" s="16" t="inlineStr">
        <is>
          <t>Not an employee — has free Fabric licence only. Flagged for management review.</t>
        </is>
      </c>
      <c r="L24" s="16" t="n">
        <v>1</v>
      </c>
      <c r="M24" s="16" t="inlineStr">
        <is>
          <t>Microsoft Fabric (Free)</t>
        </is>
      </c>
      <c r="N24" s="16" t="inlineStr"/>
    </row>
    <row r="25">
      <c r="A25" s="14" t="inlineStr">
        <is>
          <t>CJ Woller</t>
        </is>
      </c>
      <c r="B25" s="14" t="inlineStr">
        <is>
          <t>cj@WearCheckRS.com</t>
        </is>
      </c>
      <c r="C25" s="14" t="inlineStr">
        <is>
          <t>CJ Woller</t>
        </is>
      </c>
      <c r="D25" s="14" t="inlineStr">
        <is>
          <t>cj@wearcheckrs.com</t>
        </is>
      </c>
      <c r="E25" s="14" t="inlineStr">
        <is>
          <t>WEC120</t>
        </is>
      </c>
      <c r="F25" s="14" t="inlineStr">
        <is>
          <t>RS</t>
        </is>
      </c>
      <c r="G25" s="14" t="inlineStr">
        <is>
          <t>Matched</t>
        </is>
      </c>
      <c r="H25" s="14" t="inlineStr">
        <is>
          <t>High</t>
        </is>
      </c>
      <c r="I25" s="14" t="inlineStr">
        <is>
          <t>No</t>
        </is>
      </c>
      <c r="J25" s="14" t="inlineStr">
        <is>
          <t>Active</t>
        </is>
      </c>
      <c r="K25" s="14" t="inlineStr">
        <is>
          <t>Exact company email match</t>
        </is>
      </c>
      <c r="L25" s="14" t="n">
        <v>3</v>
      </c>
      <c r="M25" s="14" t="inlineStr">
        <is>
          <t>Microsoft Defender for Office 365 (Plan 2)+Microsoft Power Automate Free+Microsoft 365 Business Standard</t>
        </is>
      </c>
      <c r="N25" s="14" t="inlineStr"/>
    </row>
    <row r="26">
      <c r="A26" s="14" t="inlineStr">
        <is>
          <t>Colleen Pyper</t>
        </is>
      </c>
      <c r="B26" s="14" t="inlineStr">
        <is>
          <t>colleen.pyper@WearCheckRS.com</t>
        </is>
      </c>
      <c r="C26" s="14" t="inlineStr">
        <is>
          <t>Colleen Pyper</t>
        </is>
      </c>
      <c r="D26" s="14" t="inlineStr">
        <is>
          <t>colleen.pyper@WearCheckRS.com</t>
        </is>
      </c>
      <c r="E26" s="14" t="inlineStr">
        <is>
          <t>WC486</t>
        </is>
      </c>
      <c r="F26" s="14" t="inlineStr">
        <is>
          <t>AFS</t>
        </is>
      </c>
      <c r="G26" s="14" t="inlineStr">
        <is>
          <t>Matched</t>
        </is>
      </c>
      <c r="H26" s="14" t="inlineStr">
        <is>
          <t>High</t>
        </is>
      </c>
      <c r="I26" s="14" t="inlineStr">
        <is>
          <t>No</t>
        </is>
      </c>
      <c r="J26" s="14" t="inlineStr">
        <is>
          <t>Active</t>
        </is>
      </c>
      <c r="K26" s="14" t="inlineStr">
        <is>
          <t>Exact company email match</t>
        </is>
      </c>
      <c r="L26" s="14" t="n">
        <v>3</v>
      </c>
      <c r="M26" s="14" t="inlineStr">
        <is>
          <t>Microsoft Defender for Office 365 (Plan 2)+Microsoft Power Automate Free+Microsoft 365 Business Standard</t>
        </is>
      </c>
      <c r="N26" s="14" t="inlineStr"/>
    </row>
    <row r="27">
      <c r="A27" s="14" t="inlineStr">
        <is>
          <t>Daniel Molapo</t>
        </is>
      </c>
      <c r="B27" s="14" t="inlineStr">
        <is>
          <t>daniel@WearCheckRS.com</t>
        </is>
      </c>
      <c r="C27" s="14" t="inlineStr">
        <is>
          <t>Tshegofatsho Daniel Molapo</t>
        </is>
      </c>
      <c r="D27" s="14" t="inlineStr">
        <is>
          <t>daniel@wearcheckrs.com</t>
        </is>
      </c>
      <c r="E27" s="14" t="inlineStr">
        <is>
          <t>WC402</t>
        </is>
      </c>
      <c r="F27" s="14" t="inlineStr">
        <is>
          <t>RS</t>
        </is>
      </c>
      <c r="G27" s="14" t="inlineStr">
        <is>
          <t>Matched</t>
        </is>
      </c>
      <c r="H27" s="14" t="inlineStr">
        <is>
          <t>High</t>
        </is>
      </c>
      <c r="I27" s="14" t="inlineStr">
        <is>
          <t>No</t>
        </is>
      </c>
      <c r="J27" s="14" t="inlineStr">
        <is>
          <t>Active</t>
        </is>
      </c>
      <c r="K27" s="14" t="inlineStr">
        <is>
          <t>Exact company email match</t>
        </is>
      </c>
      <c r="L27" s="14" t="n">
        <v>4</v>
      </c>
      <c r="M27" s="14" t="inlineStr">
        <is>
          <t>Microsoft Defender for Office 365 (Plan 2)+Microsoft 365 E3+Microsoft Fabric (Free)+Microsoft Power Automate Free</t>
        </is>
      </c>
      <c r="N27" s="14" t="inlineStr"/>
    </row>
    <row r="28">
      <c r="A28" s="14" t="inlineStr">
        <is>
          <t>David Lipange</t>
        </is>
      </c>
      <c r="B28" s="14" t="inlineStr">
        <is>
          <t>DavidL@WearCheckRS.com</t>
        </is>
      </c>
      <c r="C28" s="14" t="inlineStr">
        <is>
          <t>David Lipague</t>
        </is>
      </c>
      <c r="D28" s="14" t="inlineStr">
        <is>
          <t>davidl@wearcheckrs.com</t>
        </is>
      </c>
      <c r="E28" s="14" t="inlineStr">
        <is>
          <t>Unknown</t>
        </is>
      </c>
      <c r="F28" s="14" t="inlineStr">
        <is>
          <t>Mozambique</t>
        </is>
      </c>
      <c r="G28" s="14" t="inlineStr">
        <is>
          <t>Matched</t>
        </is>
      </c>
      <c r="H28" s="14" t="inlineStr">
        <is>
          <t>High</t>
        </is>
      </c>
      <c r="I28" s="14" t="inlineStr">
        <is>
          <t>No</t>
        </is>
      </c>
      <c r="J28" s="14" t="inlineStr">
        <is>
          <t>Active</t>
        </is>
      </c>
      <c r="K28" s="14" t="inlineStr">
        <is>
          <t>Exact company email match</t>
        </is>
      </c>
      <c r="L28" s="14" t="n">
        <v>3</v>
      </c>
      <c r="M28" s="14" t="inlineStr">
        <is>
          <t>Microsoft Defender for Office 365 (Plan 2)+Microsoft Fabric (Free)+Microsoft 365 Business Standard</t>
        </is>
      </c>
      <c r="N28" s="14" t="inlineStr"/>
    </row>
    <row r="29">
      <c r="A29" s="14" t="inlineStr">
        <is>
          <t>David Viljoen</t>
        </is>
      </c>
      <c r="B29" s="14" t="inlineStr">
        <is>
          <t>David@WearCheckRS.com</t>
        </is>
      </c>
      <c r="C29" s="14" t="inlineStr">
        <is>
          <t>David Viljoen</t>
        </is>
      </c>
      <c r="D29" s="14" t="inlineStr">
        <is>
          <t>David@wearcheckrs.com</t>
        </is>
      </c>
      <c r="E29" s="14" t="inlineStr">
        <is>
          <t>WEC081</t>
        </is>
      </c>
      <c r="F29" s="14" t="inlineStr">
        <is>
          <t>RS</t>
        </is>
      </c>
      <c r="G29" s="14" t="inlineStr">
        <is>
          <t>Matched</t>
        </is>
      </c>
      <c r="H29" s="14" t="inlineStr">
        <is>
          <t>High</t>
        </is>
      </c>
      <c r="I29" s="14" t="inlineStr">
        <is>
          <t>No</t>
        </is>
      </c>
      <c r="J29" s="14" t="inlineStr">
        <is>
          <t>Active</t>
        </is>
      </c>
      <c r="K29" s="14" t="inlineStr">
        <is>
          <t>Exact company email match</t>
        </is>
      </c>
      <c r="L29" s="14" t="n">
        <v>4</v>
      </c>
      <c r="M29" s="14" t="inlineStr">
        <is>
          <t>Microsoft Defender for Office 365 (Plan 2)+Microsoft Fabric (Free)+Microsoft 365 Business Standard+Microsoft Power Automate Free</t>
        </is>
      </c>
      <c r="N29" s="14" t="inlineStr"/>
    </row>
    <row r="30">
      <c r="A30" s="14" t="inlineStr">
        <is>
          <t>Deon Gaarkeuken</t>
        </is>
      </c>
      <c r="B30" s="14" t="inlineStr">
        <is>
          <t>Deon@WearCheckRS.com</t>
        </is>
      </c>
      <c r="C30" s="14" t="inlineStr">
        <is>
          <t>Deon  Gaarkeuken</t>
        </is>
      </c>
      <c r="D30" s="14" t="inlineStr">
        <is>
          <t>deon@wearcheckrs.com</t>
        </is>
      </c>
      <c r="E30" s="14" t="inlineStr">
        <is>
          <t>WC358</t>
        </is>
      </c>
      <c r="F30" s="14" t="inlineStr">
        <is>
          <t>RS</t>
        </is>
      </c>
      <c r="G30" s="14" t="inlineStr">
        <is>
          <t>Matched</t>
        </is>
      </c>
      <c r="H30" s="14" t="inlineStr">
        <is>
          <t>High</t>
        </is>
      </c>
      <c r="I30" s="14" t="inlineStr">
        <is>
          <t>No</t>
        </is>
      </c>
      <c r="J30" s="14" t="inlineStr">
        <is>
          <t>Active</t>
        </is>
      </c>
      <c r="K30" s="14" t="inlineStr">
        <is>
          <t>Exact company email match</t>
        </is>
      </c>
      <c r="L30" s="14" t="n">
        <v>5</v>
      </c>
      <c r="M30" s="14" t="inlineStr">
        <is>
          <t>Microsoft Defender for Office 365 (Plan 2)+Power BI Premium Per User+Microsoft 365 E3+Microsoft Fabric (Free)+Microsoft Power Automate Free</t>
        </is>
      </c>
      <c r="N30" s="14" t="inlineStr"/>
    </row>
    <row r="31">
      <c r="A31" s="14" t="inlineStr">
        <is>
          <t>Desmond Ngomane</t>
        </is>
      </c>
      <c r="B31" s="14" t="inlineStr">
        <is>
          <t>desmond@WearCheckRS.com</t>
        </is>
      </c>
      <c r="C31" s="14" t="inlineStr">
        <is>
          <t>Desmond  Ngomane</t>
        </is>
      </c>
      <c r="D31" s="14" t="inlineStr">
        <is>
          <t>desmond@wearcheckrs.com</t>
        </is>
      </c>
      <c r="E31" s="14" t="inlineStr">
        <is>
          <t>WEC086</t>
        </is>
      </c>
      <c r="F31" s="14" t="inlineStr">
        <is>
          <t>RS</t>
        </is>
      </c>
      <c r="G31" s="14" t="inlineStr">
        <is>
          <t>Matched</t>
        </is>
      </c>
      <c r="H31" s="14" t="inlineStr">
        <is>
          <t>High</t>
        </is>
      </c>
      <c r="I31" s="14" t="inlineStr">
        <is>
          <t>No</t>
        </is>
      </c>
      <c r="J31" s="14" t="inlineStr">
        <is>
          <t>Active</t>
        </is>
      </c>
      <c r="K31" s="14" t="inlineStr">
        <is>
          <t>Exact company email match</t>
        </is>
      </c>
      <c r="L31" s="14" t="n">
        <v>3</v>
      </c>
      <c r="M31" s="14" t="inlineStr">
        <is>
          <t>Microsoft Defender for Office 365 (Plan 2)+Microsoft Fabric (Free)+Microsoft 365 Business Standard</t>
        </is>
      </c>
      <c r="N31" s="14" t="inlineStr"/>
    </row>
    <row r="32">
      <c r="A32" s="14" t="inlineStr">
        <is>
          <t>Dian Leff</t>
        </is>
      </c>
      <c r="B32" s="14" t="inlineStr">
        <is>
          <t>dian@WearCheckRS.com</t>
        </is>
      </c>
      <c r="C32" s="14" t="inlineStr">
        <is>
          <t>Dian Leff</t>
        </is>
      </c>
      <c r="D32" s="14" t="inlineStr">
        <is>
          <t>dian@wearcheckrs.com</t>
        </is>
      </c>
      <c r="E32" s="14" t="inlineStr">
        <is>
          <t>WCN008</t>
        </is>
      </c>
      <c r="F32" s="14" t="inlineStr">
        <is>
          <t>Namibia</t>
        </is>
      </c>
      <c r="G32" s="14" t="inlineStr">
        <is>
          <t>Matched</t>
        </is>
      </c>
      <c r="H32" s="14" t="inlineStr">
        <is>
          <t>High</t>
        </is>
      </c>
      <c r="I32" s="14" t="inlineStr">
        <is>
          <t>No</t>
        </is>
      </c>
      <c r="J32" s="14" t="inlineStr">
        <is>
          <t>Active</t>
        </is>
      </c>
      <c r="K32" s="14" t="inlineStr">
        <is>
          <t>Exact company email match</t>
        </is>
      </c>
      <c r="L32" s="14" t="n">
        <v>2</v>
      </c>
      <c r="M32" s="14" t="inlineStr">
        <is>
          <t>Microsoft Defender for Office 365 (Plan 2)+Microsoft 365 Business Standard</t>
        </is>
      </c>
      <c r="N32" s="14" t="inlineStr"/>
    </row>
    <row r="33">
      <c r="A33" s="14" t="inlineStr">
        <is>
          <t>Douglas Prout-Jones</t>
        </is>
      </c>
      <c r="B33" s="14" t="inlineStr">
        <is>
          <t>douglas@WearCheckRS.com</t>
        </is>
      </c>
      <c r="C33" s="14" t="inlineStr">
        <is>
          <t>Douglas Prout-Jones</t>
        </is>
      </c>
      <c r="D33" s="14" t="inlineStr">
        <is>
          <t>Douglas@WearcheckRS.com</t>
        </is>
      </c>
      <c r="E33" s="14" t="inlineStr">
        <is>
          <t>WEC119</t>
        </is>
      </c>
      <c r="F33" s="14" t="inlineStr">
        <is>
          <t>RS</t>
        </is>
      </c>
      <c r="G33" s="14" t="inlineStr">
        <is>
          <t>Matched</t>
        </is>
      </c>
      <c r="H33" s="14" t="inlineStr">
        <is>
          <t>High</t>
        </is>
      </c>
      <c r="I33" s="14" t="inlineStr">
        <is>
          <t>No</t>
        </is>
      </c>
      <c r="J33" s="14" t="inlineStr">
        <is>
          <t>Active</t>
        </is>
      </c>
      <c r="K33" s="14" t="inlineStr">
        <is>
          <t>Exact company email match</t>
        </is>
      </c>
      <c r="L33" s="14" t="n">
        <v>3</v>
      </c>
      <c r="M33" s="14" t="inlineStr">
        <is>
          <t>Microsoft Defender for Office 365 (Plan 2)+Microsoft Power Automate Free+Microsoft 365 Business Standard</t>
        </is>
      </c>
      <c r="N33" s="14" t="inlineStr"/>
    </row>
    <row r="34">
      <c r="A34" s="14" t="inlineStr">
        <is>
          <t>Eben Prinsloo</t>
        </is>
      </c>
      <c r="B34" s="14" t="inlineStr">
        <is>
          <t>eben@WearCheckRS.com</t>
        </is>
      </c>
      <c r="C34" s="14" t="inlineStr">
        <is>
          <t>Eben Prinsloo</t>
        </is>
      </c>
      <c r="D34" s="14" t="inlineStr">
        <is>
          <t>eben@wearcheckrs.com</t>
        </is>
      </c>
      <c r="E34" s="14" t="inlineStr">
        <is>
          <t>WEC122</t>
        </is>
      </c>
      <c r="F34" s="14" t="inlineStr">
        <is>
          <t>RS</t>
        </is>
      </c>
      <c r="G34" s="14" t="inlineStr">
        <is>
          <t>Matched</t>
        </is>
      </c>
      <c r="H34" s="14" t="inlineStr">
        <is>
          <t>High</t>
        </is>
      </c>
      <c r="I34" s="14" t="inlineStr">
        <is>
          <t>No</t>
        </is>
      </c>
      <c r="J34" s="14" t="inlineStr">
        <is>
          <t>Active</t>
        </is>
      </c>
      <c r="K34" s="14" t="inlineStr">
        <is>
          <t>Exact company email match</t>
        </is>
      </c>
      <c r="L34" s="14" t="n">
        <v>3</v>
      </c>
      <c r="M34" s="14" t="inlineStr">
        <is>
          <t>Microsoft Defender for Office 365 (Plan 2)+Microsoft 365 Business Standard+Microsoft Fabric (Free)</t>
        </is>
      </c>
      <c r="N34" s="14" t="inlineStr"/>
    </row>
    <row r="35">
      <c r="A35" s="14" t="inlineStr">
        <is>
          <t>Edward Pieterse Jnr</t>
        </is>
      </c>
      <c r="B35" s="14" t="inlineStr">
        <is>
          <t>edwardfp@WearCheckRS.com</t>
        </is>
      </c>
      <c r="C35" s="14" t="inlineStr">
        <is>
          <t>Edward Frederick IV Pieterse</t>
        </is>
      </c>
      <c r="D35" s="14" t="inlineStr">
        <is>
          <t>edwardfp@wearcheckrs.com</t>
        </is>
      </c>
      <c r="E35" s="14" t="inlineStr">
        <is>
          <t>WC274</t>
        </is>
      </c>
      <c r="F35" s="14" t="inlineStr">
        <is>
          <t>RS</t>
        </is>
      </c>
      <c r="G35" s="14" t="inlineStr">
        <is>
          <t>Matched</t>
        </is>
      </c>
      <c r="H35" s="14" t="inlineStr">
        <is>
          <t>High</t>
        </is>
      </c>
      <c r="I35" s="14" t="inlineStr">
        <is>
          <t>No</t>
        </is>
      </c>
      <c r="J35" s="14" t="inlineStr">
        <is>
          <t>Active</t>
        </is>
      </c>
      <c r="K35" s="14" t="inlineStr">
        <is>
          <t>Exact company email match</t>
        </is>
      </c>
      <c r="L35" s="14" t="n">
        <v>5</v>
      </c>
      <c r="M35" s="14" t="inlineStr">
        <is>
          <t>Microsoft Defender for Office 365 (Plan 2)+Microsoft Power Apps for Developer+Microsoft 365 E3+Microsoft Fabric (Free)+Microsoft Power Automate Free</t>
        </is>
      </c>
      <c r="N35" s="14" t="inlineStr"/>
    </row>
    <row r="36">
      <c r="A36" s="14" t="inlineStr">
        <is>
          <t>Edward Pieterse Snr</t>
        </is>
      </c>
      <c r="B36" s="14" t="inlineStr">
        <is>
          <t>epieterse@wearcheckrs.com</t>
        </is>
      </c>
      <c r="C36" s="14" t="inlineStr">
        <is>
          <t>Edward Pieterse</t>
        </is>
      </c>
      <c r="D36" s="14" t="inlineStr">
        <is>
          <t>epieterse@wearcheckrs.com</t>
        </is>
      </c>
      <c r="E36" s="14" t="inlineStr">
        <is>
          <t>WC271</t>
        </is>
      </c>
      <c r="F36" s="14" t="inlineStr">
        <is>
          <t>RS</t>
        </is>
      </c>
      <c r="G36" s="14" t="inlineStr">
        <is>
          <t>Matched</t>
        </is>
      </c>
      <c r="H36" s="14" t="inlineStr">
        <is>
          <t>High</t>
        </is>
      </c>
      <c r="I36" s="14" t="inlineStr">
        <is>
          <t>No</t>
        </is>
      </c>
      <c r="J36" s="14" t="inlineStr">
        <is>
          <t>Active</t>
        </is>
      </c>
      <c r="K36" s="14" t="inlineStr">
        <is>
          <t>Exact company email match</t>
        </is>
      </c>
      <c r="L36" s="14" t="n">
        <v>4</v>
      </c>
      <c r="M36" s="14" t="inlineStr">
        <is>
          <t>Microsoft 365 Business Premium+Microsoft Defender for Office 365 (Plan 2)+Microsoft Power Automate Free+Microsoft Fabric (Free)</t>
        </is>
      </c>
      <c r="N36" s="14" t="inlineStr"/>
    </row>
    <row r="37">
      <c r="A37" s="14" t="inlineStr">
        <is>
          <t>Edwin Gibbons</t>
        </is>
      </c>
      <c r="B37" s="14" t="inlineStr">
        <is>
          <t>edwin@WearCheckRS.com</t>
        </is>
      </c>
      <c r="C37" s="14" t="inlineStr">
        <is>
          <t>Edwin Ashley Gibbons</t>
        </is>
      </c>
      <c r="D37" s="14" t="inlineStr">
        <is>
          <t>edwin@wearcheckrs.com</t>
        </is>
      </c>
      <c r="E37" s="14" t="inlineStr">
        <is>
          <t>WEC138</t>
        </is>
      </c>
      <c r="F37" s="14" t="inlineStr">
        <is>
          <t>AFS</t>
        </is>
      </c>
      <c r="G37" s="14" t="inlineStr">
        <is>
          <t>Matched</t>
        </is>
      </c>
      <c r="H37" s="14" t="inlineStr">
        <is>
          <t>High</t>
        </is>
      </c>
      <c r="I37" s="14" t="inlineStr">
        <is>
          <t>No</t>
        </is>
      </c>
      <c r="J37" s="14" t="inlineStr">
        <is>
          <t>Active</t>
        </is>
      </c>
      <c r="K37" s="14" t="inlineStr">
        <is>
          <t>Exact company email match</t>
        </is>
      </c>
      <c r="L37" s="14" t="n">
        <v>2</v>
      </c>
      <c r="M37" s="14" t="inlineStr">
        <is>
          <t>Microsoft Defender for Office 365 (Plan 2)+Microsoft 365 Business Standard</t>
        </is>
      </c>
      <c r="N37" s="14" t="inlineStr"/>
    </row>
    <row r="38">
      <c r="A38" s="14" t="inlineStr">
        <is>
          <t>Ethel Mienie</t>
        </is>
      </c>
      <c r="B38" s="14" t="inlineStr">
        <is>
          <t>ethel.mienie@WearCheckRS.com</t>
        </is>
      </c>
      <c r="C38" s="14" t="inlineStr">
        <is>
          <t>Ethel Mienie</t>
        </is>
      </c>
      <c r="D38" s="14" t="inlineStr">
        <is>
          <t>ethel.mienie@WearCheckRS.com</t>
        </is>
      </c>
      <c r="E38" s="14" t="inlineStr">
        <is>
          <t>WC488</t>
        </is>
      </c>
      <c r="F38" s="14" t="inlineStr">
        <is>
          <t>AFS</t>
        </is>
      </c>
      <c r="G38" s="14" t="inlineStr">
        <is>
          <t>Matched</t>
        </is>
      </c>
      <c r="H38" s="14" t="inlineStr">
        <is>
          <t>High</t>
        </is>
      </c>
      <c r="I38" s="14" t="inlineStr">
        <is>
          <t>No</t>
        </is>
      </c>
      <c r="J38" s="14" t="inlineStr">
        <is>
          <t>Active</t>
        </is>
      </c>
      <c r="K38" s="14" t="inlineStr">
        <is>
          <t>Exact company email match</t>
        </is>
      </c>
      <c r="L38" s="14" t="n">
        <v>2</v>
      </c>
      <c r="M38" s="14" t="inlineStr">
        <is>
          <t>Microsoft Defender for Office 365 (Plan 2)+Microsoft 365 Business Standard</t>
        </is>
      </c>
      <c r="N38" s="14" t="inlineStr"/>
    </row>
    <row r="39">
      <c r="A39" s="14" t="inlineStr">
        <is>
          <t>Eugene Scheepers</t>
        </is>
      </c>
      <c r="B39" s="14" t="inlineStr">
        <is>
          <t>eugene@WearCheckRS.com</t>
        </is>
      </c>
      <c r="C39" s="14" t="inlineStr">
        <is>
          <t>Eugene Scheepers</t>
        </is>
      </c>
      <c r="D39" s="14" t="inlineStr">
        <is>
          <t>eugene@wearcheckrs.com</t>
        </is>
      </c>
      <c r="E39" s="14" t="inlineStr">
        <is>
          <t>WEC090</t>
        </is>
      </c>
      <c r="F39" s="14" t="inlineStr">
        <is>
          <t>RS</t>
        </is>
      </c>
      <c r="G39" s="14" t="inlineStr">
        <is>
          <t>Matched</t>
        </is>
      </c>
      <c r="H39" s="14" t="inlineStr">
        <is>
          <t>High</t>
        </is>
      </c>
      <c r="I39" s="14" t="inlineStr">
        <is>
          <t>No</t>
        </is>
      </c>
      <c r="J39" s="14" t="inlineStr">
        <is>
          <t>Active</t>
        </is>
      </c>
      <c r="K39" s="14" t="inlineStr">
        <is>
          <t>Exact company email match</t>
        </is>
      </c>
      <c r="L39" s="14" t="n">
        <v>2</v>
      </c>
      <c r="M39" s="14" t="inlineStr">
        <is>
          <t>Microsoft Defender for Office 365 (Plan 2)+Microsoft 365 Business Standard</t>
        </is>
      </c>
      <c r="N39" s="14" t="inlineStr"/>
    </row>
    <row r="40">
      <c r="A40" s="14" t="inlineStr">
        <is>
          <t>Evert Viljoen</t>
        </is>
      </c>
      <c r="B40" s="14" t="inlineStr">
        <is>
          <t>Evert@WearCheckRS.com</t>
        </is>
      </c>
      <c r="C40" s="14" t="inlineStr">
        <is>
          <t>Evert Viljoen</t>
        </is>
      </c>
      <c r="D40" s="14" t="inlineStr">
        <is>
          <t>evertv@wearcheck.co.za</t>
        </is>
      </c>
      <c r="E40" s="14" t="inlineStr">
        <is>
          <t>WC497</t>
        </is>
      </c>
      <c r="F40" s="14" t="inlineStr">
        <is>
          <t>AFS</t>
        </is>
      </c>
      <c r="G40" s="14" t="inlineStr">
        <is>
          <t>Matched</t>
        </is>
      </c>
      <c r="H40" s="14" t="inlineStr">
        <is>
          <t>Medium</t>
        </is>
      </c>
      <c r="I40" s="14" t="inlineStr">
        <is>
          <t>No</t>
        </is>
      </c>
      <c r="J40" s="14" t="inlineStr">
        <is>
          <t>Active</t>
        </is>
      </c>
      <c r="K40" s="14" t="inlineStr">
        <is>
          <t>Matched via exact name</t>
        </is>
      </c>
      <c r="L40" s="14" t="n">
        <v>2</v>
      </c>
      <c r="M40" s="14" t="inlineStr">
        <is>
          <t>Microsoft Defender for Office 365 (Plan 2)+Microsoft 365 Business Premium</t>
        </is>
      </c>
      <c r="N40" s="14" t="inlineStr"/>
    </row>
    <row r="41">
      <c r="A41" s="14" t="inlineStr">
        <is>
          <t>FLIRIRVM1</t>
        </is>
      </c>
      <c r="B41" s="14" t="inlineStr">
        <is>
          <t>flirirvm1@WearCheckRS.com</t>
        </is>
      </c>
      <c r="C41" s="14" t="n"/>
      <c r="D41" s="14" t="inlineStr"/>
      <c r="E41" s="14" t="n"/>
      <c r="F41" s="14" t="inlineStr">
        <is>
          <t>RS</t>
        </is>
      </c>
      <c r="G41" s="14" t="inlineStr">
        <is>
          <t>Mapped by rule</t>
        </is>
      </c>
      <c r="H41" s="14" t="inlineStr">
        <is>
          <t>High</t>
        </is>
      </c>
      <c r="I41" s="14" t="inlineStr">
        <is>
          <t>No</t>
        </is>
      </c>
      <c r="J41" s="14" t="inlineStr">
        <is>
          <t>Active</t>
        </is>
      </c>
      <c r="K41" s="14" t="inlineStr">
        <is>
          <t>Generic/shared/service account defaulted to RS per instruction</t>
        </is>
      </c>
      <c r="L41" s="14" t="n">
        <v>2</v>
      </c>
      <c r="M41" s="14" t="inlineStr">
        <is>
          <t>Microsoft Defender for Office 365 (Plan 2)+Microsoft 365 Business Standard</t>
        </is>
      </c>
      <c r="N41" s="14" t="inlineStr"/>
    </row>
    <row r="42">
      <c r="A42" s="14" t="inlineStr">
        <is>
          <t>flirirvm2</t>
        </is>
      </c>
      <c r="B42" s="14" t="inlineStr">
        <is>
          <t>flirirvm2@WearCheckRS.com</t>
        </is>
      </c>
      <c r="C42" s="14" t="n"/>
      <c r="D42" s="14" t="inlineStr"/>
      <c r="E42" s="14" t="n"/>
      <c r="F42" s="14" t="inlineStr">
        <is>
          <t>RS</t>
        </is>
      </c>
      <c r="G42" s="14" t="inlineStr">
        <is>
          <t>Mapped by rule</t>
        </is>
      </c>
      <c r="H42" s="14" t="inlineStr">
        <is>
          <t>High</t>
        </is>
      </c>
      <c r="I42" s="14" t="inlineStr">
        <is>
          <t>No</t>
        </is>
      </c>
      <c r="J42" s="14" t="inlineStr">
        <is>
          <t>Active</t>
        </is>
      </c>
      <c r="K42" s="14" t="inlineStr">
        <is>
          <t>Generic/shared/service account defaulted to RS per instruction</t>
        </is>
      </c>
      <c r="L42" s="14" t="n">
        <v>3</v>
      </c>
      <c r="M42" s="14" t="inlineStr">
        <is>
          <t>Microsoft Defender for Office 365 (Plan 2)+Microsoft Fabric (Free)+Microsoft 365 Business Standard</t>
        </is>
      </c>
      <c r="N42" s="14" t="inlineStr"/>
    </row>
    <row r="43">
      <c r="A43" s="14" t="inlineStr">
        <is>
          <t>flirirvm3</t>
        </is>
      </c>
      <c r="B43" s="14" t="inlineStr">
        <is>
          <t>flirirvm3@WearCheckRS.com</t>
        </is>
      </c>
      <c r="C43" s="14" t="n"/>
      <c r="D43" s="14" t="inlineStr"/>
      <c r="E43" s="14" t="n"/>
      <c r="F43" s="14" t="inlineStr">
        <is>
          <t>RS</t>
        </is>
      </c>
      <c r="G43" s="14" t="inlineStr">
        <is>
          <t>Mapped by rule</t>
        </is>
      </c>
      <c r="H43" s="14" t="inlineStr">
        <is>
          <t>High</t>
        </is>
      </c>
      <c r="I43" s="14" t="inlineStr">
        <is>
          <t>No</t>
        </is>
      </c>
      <c r="J43" s="14" t="inlineStr">
        <is>
          <t>Active</t>
        </is>
      </c>
      <c r="K43" s="14" t="inlineStr">
        <is>
          <t>Generic/shared/service account defaulted to RS per instruction</t>
        </is>
      </c>
      <c r="L43" s="14" t="n">
        <v>3</v>
      </c>
      <c r="M43" s="14" t="inlineStr">
        <is>
          <t>Microsoft Defender for Office 365 (Plan 2)+Microsoft Fabric (Free)+Microsoft 365 Business Standard</t>
        </is>
      </c>
      <c r="N43" s="14" t="inlineStr"/>
    </row>
    <row r="44">
      <c r="A44" s="14" t="inlineStr">
        <is>
          <t>Francios Pretorius</t>
        </is>
      </c>
      <c r="B44" s="14" t="inlineStr">
        <is>
          <t>franciosp@WearCheckRS.com</t>
        </is>
      </c>
      <c r="C44" s="14" t="inlineStr">
        <is>
          <t>Michael Francios  Pretorius</t>
        </is>
      </c>
      <c r="D44" s="14" t="inlineStr">
        <is>
          <t>Franciosp@wearcheckRS.com</t>
        </is>
      </c>
      <c r="E44" s="14" t="inlineStr">
        <is>
          <t>WEC080</t>
        </is>
      </c>
      <c r="F44" s="14" t="inlineStr">
        <is>
          <t>RS</t>
        </is>
      </c>
      <c r="G44" s="14" t="inlineStr">
        <is>
          <t>Matched</t>
        </is>
      </c>
      <c r="H44" s="14" t="inlineStr">
        <is>
          <t>High</t>
        </is>
      </c>
      <c r="I44" s="14" t="inlineStr">
        <is>
          <t>No</t>
        </is>
      </c>
      <c r="J44" s="14" t="inlineStr">
        <is>
          <t>Active</t>
        </is>
      </c>
      <c r="K44" s="14" t="inlineStr">
        <is>
          <t>Exact company email match</t>
        </is>
      </c>
      <c r="L44" s="14" t="n">
        <v>3</v>
      </c>
      <c r="M44" s="14" t="inlineStr">
        <is>
          <t>Microsoft Defender for Office 365 (Plan 2)+Microsoft Power Automate Free+Microsoft 365 Business Standard</t>
        </is>
      </c>
      <c r="N44" s="14" t="inlineStr"/>
    </row>
    <row r="45">
      <c r="A45" s="14" t="inlineStr">
        <is>
          <t>Francois Pienaar</t>
        </is>
      </c>
      <c r="B45" s="14" t="inlineStr">
        <is>
          <t>FrancoisP@WearCheckRS.com</t>
        </is>
      </c>
      <c r="C45" s="14" t="inlineStr">
        <is>
          <t>Jozua Francois Joubert Pienaar</t>
        </is>
      </c>
      <c r="D45" s="14" t="inlineStr">
        <is>
          <t>francoisp@wearcheckrs.com</t>
        </is>
      </c>
      <c r="E45" s="14" t="inlineStr">
        <is>
          <t>WEC111</t>
        </is>
      </c>
      <c r="F45" s="14" t="inlineStr">
        <is>
          <t>RS</t>
        </is>
      </c>
      <c r="G45" s="14" t="inlineStr">
        <is>
          <t>Matched</t>
        </is>
      </c>
      <c r="H45" s="14" t="inlineStr">
        <is>
          <t>High</t>
        </is>
      </c>
      <c r="I45" s="14" t="inlineStr">
        <is>
          <t>No</t>
        </is>
      </c>
      <c r="J45" s="14" t="inlineStr">
        <is>
          <t>Active</t>
        </is>
      </c>
      <c r="K45" s="14" t="inlineStr">
        <is>
          <t>Exact company email match</t>
        </is>
      </c>
      <c r="L45" s="14" t="n">
        <v>4</v>
      </c>
      <c r="M45" s="14" t="inlineStr">
        <is>
          <t>Microsoft Defender for Office 365 (Plan 2)+Microsoft Fabric (Free)+Microsoft 365 Business Standard+Microsoft Power Automate Free</t>
        </is>
      </c>
      <c r="N45" s="14" t="inlineStr"/>
    </row>
    <row r="46">
      <c r="A46" s="14" t="inlineStr">
        <is>
          <t>Francois van Eden</t>
        </is>
      </c>
      <c r="B46" s="14" t="inlineStr">
        <is>
          <t>francoisve@wearcheckrs.com</t>
        </is>
      </c>
      <c r="C46" s="14" t="inlineStr">
        <is>
          <t>Francois Jacobus van Eeden</t>
        </is>
      </c>
      <c r="D46" s="14" t="inlineStr">
        <is>
          <t>francoisve@wearcheckrs.com</t>
        </is>
      </c>
      <c r="E46" s="14" t="inlineStr">
        <is>
          <t>WC287</t>
        </is>
      </c>
      <c r="F46" s="14" t="inlineStr">
        <is>
          <t>RS</t>
        </is>
      </c>
      <c r="G46" s="14" t="inlineStr">
        <is>
          <t>Matched</t>
        </is>
      </c>
      <c r="H46" s="14" t="inlineStr">
        <is>
          <t>High</t>
        </is>
      </c>
      <c r="I46" s="14" t="inlineStr">
        <is>
          <t>No</t>
        </is>
      </c>
      <c r="J46" s="14" t="inlineStr">
        <is>
          <t>Active</t>
        </is>
      </c>
      <c r="K46" s="14" t="inlineStr">
        <is>
          <t>Exact company email match</t>
        </is>
      </c>
      <c r="L46" s="14" t="n">
        <v>4</v>
      </c>
      <c r="M46" s="14" t="inlineStr">
        <is>
          <t>Microsoft 365 Business Premium+Microsoft Defender for Office 365 (Plan 2)+Microsoft Fabric (Free)+Microsoft Power Automate Free</t>
        </is>
      </c>
      <c r="N46" s="14" t="inlineStr"/>
    </row>
    <row r="47">
      <c r="A47" s="14" t="inlineStr">
        <is>
          <t>Freddy-Ben Gariseb</t>
        </is>
      </c>
      <c r="B47" s="14" t="inlineStr">
        <is>
          <t>Freddy-Ben@WearCheckRS.com</t>
        </is>
      </c>
      <c r="C47" s="14" t="inlineStr">
        <is>
          <t>Freddy-Ben Gariseb</t>
        </is>
      </c>
      <c r="D47" s="14" t="inlineStr">
        <is>
          <t>Freddy-Ben@wearcheckRS.com</t>
        </is>
      </c>
      <c r="E47" s="14" t="inlineStr">
        <is>
          <t>WCN004</t>
        </is>
      </c>
      <c r="F47" s="14" t="inlineStr">
        <is>
          <t>Namibia</t>
        </is>
      </c>
      <c r="G47" s="14" t="inlineStr">
        <is>
          <t>Matched</t>
        </is>
      </c>
      <c r="H47" s="14" t="inlineStr">
        <is>
          <t>High</t>
        </is>
      </c>
      <c r="I47" s="14" t="inlineStr">
        <is>
          <t>No</t>
        </is>
      </c>
      <c r="J47" s="14" t="inlineStr">
        <is>
          <t>Active</t>
        </is>
      </c>
      <c r="K47" s="14" t="inlineStr">
        <is>
          <t>Exact company email match</t>
        </is>
      </c>
      <c r="L47" s="14" t="n">
        <v>2</v>
      </c>
      <c r="M47" s="14" t="inlineStr">
        <is>
          <t>Microsoft Defender for Office 365 (Plan 2)+Microsoft 365 Business Standard</t>
        </is>
      </c>
      <c r="N47" s="14" t="inlineStr"/>
    </row>
    <row r="48">
      <c r="A48" s="14" t="inlineStr">
        <is>
          <t>Gabriel</t>
        </is>
      </c>
      <c r="B48" s="14" t="inlineStr">
        <is>
          <t>Gabriel@WearCheckRS.com</t>
        </is>
      </c>
      <c r="C48" s="14" t="inlineStr">
        <is>
          <t>Gabriel Shikongo Nuunyango</t>
        </is>
      </c>
      <c r="D48" s="14" t="inlineStr">
        <is>
          <t>gabriel@wearcheckrs.com</t>
        </is>
      </c>
      <c r="E48" s="14" t="inlineStr">
        <is>
          <t>WCN007</t>
        </is>
      </c>
      <c r="F48" s="14" t="inlineStr">
        <is>
          <t>Namibia</t>
        </is>
      </c>
      <c r="G48" s="14" t="inlineStr">
        <is>
          <t>Matched</t>
        </is>
      </c>
      <c r="H48" s="14" t="inlineStr">
        <is>
          <t>High</t>
        </is>
      </c>
      <c r="I48" s="14" t="inlineStr">
        <is>
          <t>No</t>
        </is>
      </c>
      <c r="J48" s="14" t="inlineStr">
        <is>
          <t>Active</t>
        </is>
      </c>
      <c r="K48" s="14" t="inlineStr">
        <is>
          <t>Exact company email match</t>
        </is>
      </c>
      <c r="L48" s="14" t="n">
        <v>3</v>
      </c>
      <c r="M48" s="14" t="inlineStr">
        <is>
          <t>Microsoft Defender for Office 365 (Plan 2)+Microsoft Fabric (Free)+Microsoft 365 Business Standard</t>
        </is>
      </c>
      <c r="N48" s="14" t="inlineStr"/>
    </row>
    <row r="49">
      <c r="A49" s="15" t="inlineStr">
        <is>
          <t>Gladwin Sekharume</t>
        </is>
      </c>
      <c r="B49" s="15" t="inlineStr">
        <is>
          <t>GladwinS@WearCheckRS.com</t>
        </is>
      </c>
      <c r="C49" s="15" t="inlineStr"/>
      <c r="D49" s="15" t="inlineStr"/>
      <c r="E49" s="15" t="inlineStr"/>
      <c r="F49" s="15" t="inlineStr">
        <is>
          <t>RS</t>
        </is>
      </c>
      <c r="G49" s="15" t="inlineStr">
        <is>
          <t>Ex-Employee</t>
        </is>
      </c>
      <c r="H49" s="15" t="inlineStr">
        <is>
          <t>High</t>
        </is>
      </c>
      <c r="I49" s="15" t="inlineStr">
        <is>
          <t>No</t>
        </is>
      </c>
      <c r="J49" s="15" t="inlineStr">
        <is>
          <t>Ex-Employee</t>
        </is>
      </c>
      <c r="K49" s="15" t="inlineStr">
        <is>
          <t>No longer an employee. FLAG: Remove licence.</t>
        </is>
      </c>
      <c r="L49" s="15" t="n">
        <v>2</v>
      </c>
      <c r="M49" s="15" t="inlineStr">
        <is>
          <t>Microsoft Defender for Office 365 (Plan 2)+Microsoft 365 Business Standard</t>
        </is>
      </c>
      <c r="N49" s="15" t="inlineStr"/>
    </row>
    <row r="50">
      <c r="A50" s="14" t="inlineStr">
        <is>
          <t>Godfrey Boikhutso</t>
        </is>
      </c>
      <c r="B50" s="14" t="inlineStr">
        <is>
          <t>Godfrey@WearCheckRS.com</t>
        </is>
      </c>
      <c r="C50" s="14" t="inlineStr">
        <is>
          <t>Godfrey Boikhutso</t>
        </is>
      </c>
      <c r="D50" s="14" t="inlineStr">
        <is>
          <t>godfreyb@wearcheck.co.za</t>
        </is>
      </c>
      <c r="E50" s="14" t="inlineStr">
        <is>
          <t>WC510</t>
        </is>
      </c>
      <c r="F50" s="14" t="inlineStr">
        <is>
          <t>AFS</t>
        </is>
      </c>
      <c r="G50" s="14" t="inlineStr">
        <is>
          <t>Matched</t>
        </is>
      </c>
      <c r="H50" s="14" t="inlineStr">
        <is>
          <t>Medium</t>
        </is>
      </c>
      <c r="I50" s="14" t="inlineStr">
        <is>
          <t>No</t>
        </is>
      </c>
      <c r="J50" s="14" t="inlineStr">
        <is>
          <t>Active</t>
        </is>
      </c>
      <c r="K50" s="14" t="inlineStr">
        <is>
          <t>Matched via exact name</t>
        </is>
      </c>
      <c r="L50" s="14" t="n">
        <v>2</v>
      </c>
      <c r="M50" s="14" t="inlineStr">
        <is>
          <t>Microsoft Defender for Office 365 (Plan 2)+Microsoft 365 Business Premium</t>
        </is>
      </c>
      <c r="N50" s="14" t="inlineStr"/>
    </row>
    <row r="51">
      <c r="A51" s="14" t="inlineStr">
        <is>
          <t>Gustav Lourens</t>
        </is>
      </c>
      <c r="B51" s="14" t="inlineStr">
        <is>
          <t>gustav@WearCheckRS.com</t>
        </is>
      </c>
      <c r="C51" s="14" t="inlineStr">
        <is>
          <t>Gustav Lourens</t>
        </is>
      </c>
      <c r="D51" s="14" t="inlineStr">
        <is>
          <t>gustav@wearcheckrs.com</t>
        </is>
      </c>
      <c r="E51" s="14" t="inlineStr">
        <is>
          <t>WC270</t>
        </is>
      </c>
      <c r="F51" s="14" t="inlineStr">
        <is>
          <t>RS</t>
        </is>
      </c>
      <c r="G51" s="14" t="inlineStr">
        <is>
          <t>Matched</t>
        </is>
      </c>
      <c r="H51" s="14" t="inlineStr">
        <is>
          <t>High</t>
        </is>
      </c>
      <c r="I51" s="14" t="inlineStr">
        <is>
          <t>No</t>
        </is>
      </c>
      <c r="J51" s="14" t="inlineStr">
        <is>
          <t>Active</t>
        </is>
      </c>
      <c r="K51" s="14" t="inlineStr">
        <is>
          <t>Exact company email match</t>
        </is>
      </c>
      <c r="L51" s="14" t="n">
        <v>2</v>
      </c>
      <c r="M51" s="14" t="inlineStr">
        <is>
          <t>Microsoft Defender for Office 365 (Plan 2)+Microsoft 365 Business Standard</t>
        </is>
      </c>
      <c r="N51" s="14" t="inlineStr"/>
    </row>
    <row r="52">
      <c r="A52" s="14" t="inlineStr">
        <is>
          <t>Hannest Koegelenberg</t>
        </is>
      </c>
      <c r="B52" s="14" t="inlineStr">
        <is>
          <t>hannest@WearCheckRS.com</t>
        </is>
      </c>
      <c r="C52" s="14" t="inlineStr">
        <is>
          <t>Hannest Koegelenberg</t>
        </is>
      </c>
      <c r="D52" s="14" t="inlineStr">
        <is>
          <t>hannest@wearcheckrs.com</t>
        </is>
      </c>
      <c r="E52" s="14" t="inlineStr">
        <is>
          <t>WEC047</t>
        </is>
      </c>
      <c r="F52" s="14" t="inlineStr">
        <is>
          <t>RS</t>
        </is>
      </c>
      <c r="G52" s="14" t="inlineStr">
        <is>
          <t>Matched</t>
        </is>
      </c>
      <c r="H52" s="14" t="inlineStr">
        <is>
          <t>High</t>
        </is>
      </c>
      <c r="I52" s="14" t="inlineStr">
        <is>
          <t>No</t>
        </is>
      </c>
      <c r="J52" s="14" t="inlineStr">
        <is>
          <t>Active</t>
        </is>
      </c>
      <c r="K52" s="14" t="inlineStr">
        <is>
          <t>Exact company email match</t>
        </is>
      </c>
      <c r="L52" s="14" t="n">
        <v>2</v>
      </c>
      <c r="M52" s="14" t="inlineStr">
        <is>
          <t>Microsoft Defender for Office 365 (Plan 2)+Microsoft 365 Business Standard</t>
        </is>
      </c>
      <c r="N52" s="14" t="inlineStr"/>
    </row>
    <row r="53">
      <c r="A53" s="14" t="inlineStr">
        <is>
          <t>Hein Coetzer</t>
        </is>
      </c>
      <c r="B53" s="14" t="inlineStr">
        <is>
          <t>heinc@WearCheckRS.com</t>
        </is>
      </c>
      <c r="C53" s="14" t="inlineStr">
        <is>
          <t>Hein Coetzer</t>
        </is>
      </c>
      <c r="D53" s="14" t="inlineStr">
        <is>
          <t>heinc@wearcheckrs.com</t>
        </is>
      </c>
      <c r="E53" s="14" t="inlineStr">
        <is>
          <t>WEC129</t>
        </is>
      </c>
      <c r="F53" s="14" t="inlineStr">
        <is>
          <t>RS</t>
        </is>
      </c>
      <c r="G53" s="14" t="inlineStr">
        <is>
          <t>Matched</t>
        </is>
      </c>
      <c r="H53" s="14" t="inlineStr">
        <is>
          <t>High</t>
        </is>
      </c>
      <c r="I53" s="14" t="inlineStr">
        <is>
          <t>No</t>
        </is>
      </c>
      <c r="J53" s="14" t="inlineStr">
        <is>
          <t>Active</t>
        </is>
      </c>
      <c r="K53" s="14" t="inlineStr">
        <is>
          <t>Exact company email match</t>
        </is>
      </c>
      <c r="L53" s="14" t="n">
        <v>2</v>
      </c>
      <c r="M53" s="14" t="inlineStr">
        <is>
          <t>Microsoft Defender for Office 365 (Plan 2)+Microsoft 365 Business Standard</t>
        </is>
      </c>
      <c r="N53" s="14" t="inlineStr"/>
    </row>
    <row r="54">
      <c r="A54" s="14" t="inlineStr">
        <is>
          <t>Heinrich Kusel</t>
        </is>
      </c>
      <c r="B54" s="14" t="inlineStr">
        <is>
          <t>Heinrich@WearCheckRS.com</t>
        </is>
      </c>
      <c r="C54" s="14" t="inlineStr">
        <is>
          <t>Fritz Kusel</t>
        </is>
      </c>
      <c r="D54" s="14" t="inlineStr">
        <is>
          <t>heinrich@wearcheckrs.com</t>
        </is>
      </c>
      <c r="E54" s="14" t="inlineStr">
        <is>
          <t>WEC134</t>
        </is>
      </c>
      <c r="F54" s="14" t="inlineStr">
        <is>
          <t>RS</t>
        </is>
      </c>
      <c r="G54" s="14" t="inlineStr">
        <is>
          <t>Matched</t>
        </is>
      </c>
      <c r="H54" s="14" t="inlineStr">
        <is>
          <t>High</t>
        </is>
      </c>
      <c r="I54" s="14" t="inlineStr">
        <is>
          <t>No</t>
        </is>
      </c>
      <c r="J54" s="14" t="inlineStr">
        <is>
          <t>Active</t>
        </is>
      </c>
      <c r="K54" s="14" t="inlineStr">
        <is>
          <t>Exact company email match</t>
        </is>
      </c>
      <c r="L54" s="14" t="n">
        <v>2</v>
      </c>
      <c r="M54" s="14" t="inlineStr">
        <is>
          <t>Microsoft Defender for Office 365 (Plan 2)+Microsoft 365 Business Standard</t>
        </is>
      </c>
      <c r="N54" s="14" t="inlineStr"/>
    </row>
    <row r="55">
      <c r="A55" s="14" t="inlineStr">
        <is>
          <t>Henry Mherekumombe</t>
        </is>
      </c>
      <c r="B55" s="14" t="inlineStr">
        <is>
          <t>Henry@WearCheckRS.com</t>
        </is>
      </c>
      <c r="C55" s="14" t="inlineStr">
        <is>
          <t>Henry Mherekumombe</t>
        </is>
      </c>
      <c r="D55" s="14" t="inlineStr">
        <is>
          <t>henry@wearcheckrs.com</t>
        </is>
      </c>
      <c r="E55" s="14" t="inlineStr">
        <is>
          <t>WEC098</t>
        </is>
      </c>
      <c r="F55" s="14" t="inlineStr">
        <is>
          <t>RS</t>
        </is>
      </c>
      <c r="G55" s="14" t="inlineStr">
        <is>
          <t>Matched</t>
        </is>
      </c>
      <c r="H55" s="14" t="inlineStr">
        <is>
          <t>High</t>
        </is>
      </c>
      <c r="I55" s="14" t="inlineStr">
        <is>
          <t>No</t>
        </is>
      </c>
      <c r="J55" s="14" t="inlineStr">
        <is>
          <t>Active</t>
        </is>
      </c>
      <c r="K55" s="14" t="inlineStr">
        <is>
          <t>Exact company email match</t>
        </is>
      </c>
      <c r="L55" s="14" t="n">
        <v>3</v>
      </c>
      <c r="M55" s="14" t="inlineStr">
        <is>
          <t>Microsoft Defender for Office 365 (Plan 2)+Microsoft Power Automate Free+Microsoft 365 Business Standard</t>
        </is>
      </c>
      <c r="N55" s="14" t="inlineStr"/>
    </row>
    <row r="56">
      <c r="A56" s="14" t="inlineStr">
        <is>
          <t>Isac Zacarias</t>
        </is>
      </c>
      <c r="B56" s="14" t="inlineStr">
        <is>
          <t>Isac@WearCheckRS.com</t>
        </is>
      </c>
      <c r="C56" s="14" t="inlineStr">
        <is>
          <t>Isac Zacarias</t>
        </is>
      </c>
      <c r="D56" s="14" t="inlineStr">
        <is>
          <t>isac@wearcheckrs.com</t>
        </is>
      </c>
      <c r="E56" s="14" t="inlineStr">
        <is>
          <t>Unknown</t>
        </is>
      </c>
      <c r="F56" s="14" t="inlineStr">
        <is>
          <t>Mozambique</t>
        </is>
      </c>
      <c r="G56" s="14" t="inlineStr">
        <is>
          <t>Matched</t>
        </is>
      </c>
      <c r="H56" s="14" t="inlineStr">
        <is>
          <t>High</t>
        </is>
      </c>
      <c r="I56" s="14" t="inlineStr">
        <is>
          <t>No</t>
        </is>
      </c>
      <c r="J56" s="14" t="inlineStr">
        <is>
          <t>Active</t>
        </is>
      </c>
      <c r="K56" s="14" t="inlineStr">
        <is>
          <t>Exact company email match</t>
        </is>
      </c>
      <c r="L56" s="14" t="n">
        <v>3</v>
      </c>
      <c r="M56" s="14" t="inlineStr">
        <is>
          <t>Microsoft Defender for Office 365 (Plan 2)+Microsoft Fabric (Free)+Microsoft 365 Business Standard</t>
        </is>
      </c>
      <c r="N56" s="14" t="inlineStr"/>
    </row>
    <row r="57">
      <c r="A57" s="15" t="inlineStr">
        <is>
          <t>Ivan Langa</t>
        </is>
      </c>
      <c r="B57" s="15" t="inlineStr">
        <is>
          <t>Ivan@WearCheckRS.com</t>
        </is>
      </c>
      <c r="C57" s="15" t="inlineStr"/>
      <c r="D57" s="15" t="inlineStr"/>
      <c r="E57" s="15" t="inlineStr"/>
      <c r="F57" s="15" t="inlineStr">
        <is>
          <t>RS</t>
        </is>
      </c>
      <c r="G57" s="15" t="inlineStr">
        <is>
          <t>Ex-Employee</t>
        </is>
      </c>
      <c r="H57" s="15" t="inlineStr">
        <is>
          <t>High</t>
        </is>
      </c>
      <c r="I57" s="15" t="inlineStr">
        <is>
          <t>No</t>
        </is>
      </c>
      <c r="J57" s="15" t="inlineStr">
        <is>
          <t>Ex-Employee</t>
        </is>
      </c>
      <c r="K57" s="15" t="inlineStr">
        <is>
          <t>No longer an employee. FLAG: Remove licence.</t>
        </is>
      </c>
      <c r="L57" s="15" t="n">
        <v>3</v>
      </c>
      <c r="M57" s="15" t="inlineStr">
        <is>
          <t>Microsoft Defender for Office 365 (Plan 2)+Microsoft Fabric (Free)+Microsoft 365 Business Standard</t>
        </is>
      </c>
      <c r="N57" s="15" t="inlineStr"/>
    </row>
    <row r="58">
      <c r="A58" s="14" t="inlineStr">
        <is>
          <t>Jaco De Beer</t>
        </is>
      </c>
      <c r="B58" s="14" t="inlineStr">
        <is>
          <t>jacodb@WearCheckRS.com</t>
        </is>
      </c>
      <c r="C58" s="14" t="inlineStr">
        <is>
          <t>Theunis Gerhardus Jacobus de Beer</t>
        </is>
      </c>
      <c r="D58" s="14" t="inlineStr">
        <is>
          <t>jacodb@wearcheckrs.com</t>
        </is>
      </c>
      <c r="E58" s="14" t="inlineStr">
        <is>
          <t>WEC097</t>
        </is>
      </c>
      <c r="F58" s="14" t="inlineStr">
        <is>
          <t>RS</t>
        </is>
      </c>
      <c r="G58" s="14" t="inlineStr">
        <is>
          <t>Matched</t>
        </is>
      </c>
      <c r="H58" s="14" t="inlineStr">
        <is>
          <t>High</t>
        </is>
      </c>
      <c r="I58" s="14" t="inlineStr">
        <is>
          <t>No</t>
        </is>
      </c>
      <c r="J58" s="14" t="inlineStr">
        <is>
          <t>Active</t>
        </is>
      </c>
      <c r="K58" s="14" t="inlineStr">
        <is>
          <t>Exact company email match</t>
        </is>
      </c>
      <c r="L58" s="14" t="n">
        <v>2</v>
      </c>
      <c r="M58" s="14" t="inlineStr">
        <is>
          <t>Microsoft Defender for Office 365 (Plan 2)+Microsoft 365 Business Standard</t>
        </is>
      </c>
      <c r="N58" s="14" t="inlineStr"/>
    </row>
    <row r="59">
      <c r="A59" s="14" t="inlineStr">
        <is>
          <t>Jaco Venter</t>
        </is>
      </c>
      <c r="B59" s="14" t="inlineStr">
        <is>
          <t>JacoV@WearCheckRS.com</t>
        </is>
      </c>
      <c r="C59" s="14" t="inlineStr">
        <is>
          <t>Jacobus Frederick Venter</t>
        </is>
      </c>
      <c r="D59" s="14" t="inlineStr">
        <is>
          <t>jacov@wearcheck.co.za</t>
        </is>
      </c>
      <c r="E59" s="14" t="inlineStr">
        <is>
          <t>WC493</t>
        </is>
      </c>
      <c r="F59" s="14" t="inlineStr">
        <is>
          <t>AFS</t>
        </is>
      </c>
      <c r="G59" s="14" t="inlineStr">
        <is>
          <t>Matched</t>
        </is>
      </c>
      <c r="H59" s="14" t="inlineStr">
        <is>
          <t>Medium</t>
        </is>
      </c>
      <c r="I59" s="14" t="inlineStr">
        <is>
          <t>No</t>
        </is>
      </c>
      <c r="J59" s="14" t="inlineStr">
        <is>
          <t>Active</t>
        </is>
      </c>
      <c r="K59" s="14" t="inlineStr">
        <is>
          <t>Matched via email alias/local-part</t>
        </is>
      </c>
      <c r="L59" s="14" t="n">
        <v>2</v>
      </c>
      <c r="M59" s="14" t="inlineStr">
        <is>
          <t>Microsoft Defender for Office 365 (Plan 2)+Microsoft 365 Business Premium</t>
        </is>
      </c>
      <c r="N59" s="14" t="inlineStr"/>
    </row>
    <row r="60">
      <c r="A60" s="14" t="inlineStr">
        <is>
          <t>Jaco Willer</t>
        </is>
      </c>
      <c r="B60" s="14" t="inlineStr">
        <is>
          <t>jaco@wearcheckrs.com</t>
        </is>
      </c>
      <c r="C60" s="14" t="inlineStr">
        <is>
          <t>Jacobus Johannes Willer</t>
        </is>
      </c>
      <c r="D60" s="14" t="inlineStr">
        <is>
          <t>jaco@wearcheckrs.com</t>
        </is>
      </c>
      <c r="E60" s="14" t="inlineStr">
        <is>
          <t>WC352</t>
        </is>
      </c>
      <c r="F60" s="14" t="inlineStr">
        <is>
          <t>RS</t>
        </is>
      </c>
      <c r="G60" s="14" t="inlineStr">
        <is>
          <t>Matched</t>
        </is>
      </c>
      <c r="H60" s="14" t="inlineStr">
        <is>
          <t>High</t>
        </is>
      </c>
      <c r="I60" s="14" t="inlineStr">
        <is>
          <t>No</t>
        </is>
      </c>
      <c r="J60" s="14" t="inlineStr">
        <is>
          <t>Active</t>
        </is>
      </c>
      <c r="K60" s="14" t="inlineStr">
        <is>
          <t>Exact company email match</t>
        </is>
      </c>
      <c r="L60" s="14" t="n">
        <v>3</v>
      </c>
      <c r="M60" s="14" t="inlineStr">
        <is>
          <t>Microsoft 365 Business Premium+Microsoft Defender for Office 365 (Plan 2)+Microsoft Power Automate Free</t>
        </is>
      </c>
      <c r="N60" s="14" t="inlineStr"/>
    </row>
    <row r="61">
      <c r="A61" s="14" t="inlineStr">
        <is>
          <t>James Tshabalala</t>
        </is>
      </c>
      <c r="B61" s="14" t="inlineStr">
        <is>
          <t>james@WearCheckRS.com</t>
        </is>
      </c>
      <c r="C61" s="14" t="inlineStr">
        <is>
          <t>James Papayito Tshabalala</t>
        </is>
      </c>
      <c r="D61" s="14" t="inlineStr">
        <is>
          <t>james@WearCheckRS.com</t>
        </is>
      </c>
      <c r="E61" s="14" t="inlineStr">
        <is>
          <t>WC236</t>
        </is>
      </c>
      <c r="F61" s="14" t="inlineStr">
        <is>
          <t>RS</t>
        </is>
      </c>
      <c r="G61" s="14" t="inlineStr">
        <is>
          <t>Matched</t>
        </is>
      </c>
      <c r="H61" s="14" t="inlineStr">
        <is>
          <t>High</t>
        </is>
      </c>
      <c r="I61" s="14" t="inlineStr">
        <is>
          <t>No</t>
        </is>
      </c>
      <c r="J61" s="14" t="inlineStr">
        <is>
          <t>Active</t>
        </is>
      </c>
      <c r="K61" s="14" t="inlineStr">
        <is>
          <t>Exact company email match</t>
        </is>
      </c>
      <c r="L61" s="14" t="n">
        <v>4</v>
      </c>
      <c r="M61" s="14" t="inlineStr">
        <is>
          <t>Microsoft Defender for Office 365 (Plan 2)+Microsoft Power Automate Free+Microsoft Fabric (Free)+Microsoft 365 Business Standard</t>
        </is>
      </c>
      <c r="N61" s="14" t="inlineStr"/>
    </row>
    <row r="62">
      <c r="A62" s="14" t="inlineStr">
        <is>
          <t>Jean-Jacques</t>
        </is>
      </c>
      <c r="B62" s="14" t="inlineStr">
        <is>
          <t>jj@WearCheckRS.com</t>
        </is>
      </c>
      <c r="C62" s="14" t="inlineStr">
        <is>
          <t>Jean Jacques de Beer</t>
        </is>
      </c>
      <c r="D62" s="14" t="inlineStr">
        <is>
          <t>jj@wearcheckrs.com</t>
        </is>
      </c>
      <c r="E62" s="14" t="inlineStr">
        <is>
          <t>WEC137</t>
        </is>
      </c>
      <c r="F62" s="14" t="inlineStr">
        <is>
          <t>RS</t>
        </is>
      </c>
      <c r="G62" s="14" t="inlineStr">
        <is>
          <t>Matched</t>
        </is>
      </c>
      <c r="H62" s="14" t="inlineStr">
        <is>
          <t>High</t>
        </is>
      </c>
      <c r="I62" s="14" t="inlineStr">
        <is>
          <t>No</t>
        </is>
      </c>
      <c r="J62" s="14" t="inlineStr">
        <is>
          <t>Active</t>
        </is>
      </c>
      <c r="K62" s="14" t="inlineStr">
        <is>
          <t>Exact company email match</t>
        </is>
      </c>
      <c r="L62" s="14" t="n">
        <v>4</v>
      </c>
      <c r="M62" s="14" t="inlineStr">
        <is>
          <t>Microsoft 365 Business Premium+Microsoft Power Automate Free+Microsoft Fabric (Free)+Microsoft Defender for Office 365 (Plan 2)</t>
        </is>
      </c>
      <c r="N62" s="14" t="inlineStr"/>
    </row>
    <row r="63">
      <c r="A63" s="14" t="inlineStr">
        <is>
          <t>Jean Pierre Du Plessis</t>
        </is>
      </c>
      <c r="B63" s="14" t="inlineStr">
        <is>
          <t>Jean-Pierre@WearCheckRS.com</t>
        </is>
      </c>
      <c r="C63" s="14" t="inlineStr"/>
      <c r="D63" s="14" t="inlineStr"/>
      <c r="E63" s="14" t="inlineStr"/>
      <c r="F63" s="14" t="inlineStr">
        <is>
          <t>AFS</t>
        </is>
      </c>
      <c r="G63" s="14" t="inlineStr">
        <is>
          <t>Confirmed</t>
        </is>
      </c>
      <c r="H63" s="14" t="inlineStr">
        <is>
          <t>High</t>
        </is>
      </c>
      <c r="I63" s="14" t="inlineStr">
        <is>
          <t>No</t>
        </is>
      </c>
      <c r="J63" s="14" t="inlineStr">
        <is>
          <t>Active</t>
        </is>
      </c>
      <c r="K63" s="14" t="inlineStr">
        <is>
          <t>Confirmed match via exact name (reviewed)</t>
        </is>
      </c>
      <c r="L63" s="14" t="n">
        <v>2</v>
      </c>
      <c r="M63" s="14" t="inlineStr">
        <is>
          <t>Microsoft 365 Business Standard+Microsoft Defender for Office 365 (Plan 2)</t>
        </is>
      </c>
      <c r="N63" s="14" t="inlineStr"/>
    </row>
    <row r="64">
      <c r="A64" s="14" t="inlineStr">
        <is>
          <t>Joe Kies</t>
        </is>
      </c>
      <c r="B64" s="14" t="inlineStr">
        <is>
          <t>Joe@WearCheckRS.com</t>
        </is>
      </c>
      <c r="C64" s="14" t="inlineStr"/>
      <c r="D64" s="14" t="inlineStr"/>
      <c r="E64" s="14" t="inlineStr"/>
      <c r="F64" s="14" t="inlineStr">
        <is>
          <t>AFS</t>
        </is>
      </c>
      <c r="G64" s="14" t="inlineStr">
        <is>
          <t>Confirmed</t>
        </is>
      </c>
      <c r="H64" s="14" t="inlineStr">
        <is>
          <t>High</t>
        </is>
      </c>
      <c r="I64" s="14" t="inlineStr">
        <is>
          <t>No</t>
        </is>
      </c>
      <c r="J64" s="14" t="inlineStr">
        <is>
          <t>Active</t>
        </is>
      </c>
      <c r="K64" s="14" t="inlineStr">
        <is>
          <t>Confirmed match via manual alias/name rule (reviewed)</t>
        </is>
      </c>
      <c r="L64" s="14" t="n">
        <v>9</v>
      </c>
      <c r="M64" s="14" t="inlineStr">
        <is>
          <t>Microsoft Power Automate Free+Microsoft 365 Business Standard+Microsoft Power Apps Plan 2 Trial+Microsoft Fabric (Free)+Microsoft Copilot Studio Viral Trial+Microsoft Power Apps for Developer+Power Pages vTrial for Makers+Microsoft Defender for Office 365 (Plan 2)+Dynamics 365 Customer Insights Self-Service</t>
        </is>
      </c>
      <c r="N64" s="14" t="inlineStr"/>
    </row>
    <row r="65">
      <c r="A65" s="14" t="inlineStr">
        <is>
          <t>Johan Bekker</t>
        </is>
      </c>
      <c r="B65" s="14" t="inlineStr">
        <is>
          <t>JohanB@WearCheckRS.com</t>
        </is>
      </c>
      <c r="C65" s="14" t="inlineStr">
        <is>
          <t>Johan Bekker</t>
        </is>
      </c>
      <c r="D65" s="14" t="inlineStr">
        <is>
          <t>JohanB@wearcheckRS.com</t>
        </is>
      </c>
      <c r="E65" s="14" t="inlineStr">
        <is>
          <t>WC645</t>
        </is>
      </c>
      <c r="F65" s="14" t="inlineStr">
        <is>
          <t>AFS</t>
        </is>
      </c>
      <c r="G65" s="14" t="inlineStr">
        <is>
          <t>Matched</t>
        </is>
      </c>
      <c r="H65" s="14" t="inlineStr">
        <is>
          <t>High</t>
        </is>
      </c>
      <c r="I65" s="14" t="inlineStr">
        <is>
          <t>No</t>
        </is>
      </c>
      <c r="J65" s="14" t="inlineStr">
        <is>
          <t>Active</t>
        </is>
      </c>
      <c r="K65" s="14" t="inlineStr">
        <is>
          <t>Exact company email match</t>
        </is>
      </c>
      <c r="L65" s="14" t="n">
        <v>3</v>
      </c>
      <c r="M65" s="14" t="inlineStr">
        <is>
          <t>Microsoft Defender for Office 365 (Plan 2)+Microsoft Power Automate Free+Microsoft 365 Business Standard</t>
        </is>
      </c>
      <c r="N65" s="14" t="inlineStr"/>
    </row>
    <row r="66">
      <c r="A66" s="14" t="inlineStr">
        <is>
          <t>Johan Rossouw</t>
        </is>
      </c>
      <c r="B66" s="14" t="inlineStr">
        <is>
          <t>JohanR@WearCheckRS.com</t>
        </is>
      </c>
      <c r="C66" s="14" t="inlineStr">
        <is>
          <t>Johan Rossouw</t>
        </is>
      </c>
      <c r="D66" s="14" t="inlineStr">
        <is>
          <t>johanr@wearcheckrs.com</t>
        </is>
      </c>
      <c r="E66" s="14" t="inlineStr">
        <is>
          <t>WC491</t>
        </is>
      </c>
      <c r="F66" s="14" t="inlineStr">
        <is>
          <t>AFS</t>
        </is>
      </c>
      <c r="G66" s="14" t="inlineStr">
        <is>
          <t>Matched</t>
        </is>
      </c>
      <c r="H66" s="14" t="inlineStr">
        <is>
          <t>High</t>
        </is>
      </c>
      <c r="I66" s="14" t="inlineStr">
        <is>
          <t>No</t>
        </is>
      </c>
      <c r="J66" s="14" t="inlineStr">
        <is>
          <t>Active</t>
        </is>
      </c>
      <c r="K66" s="14" t="inlineStr">
        <is>
          <t>Exact company email match</t>
        </is>
      </c>
      <c r="L66" s="14" t="n">
        <v>2</v>
      </c>
      <c r="M66" s="14" t="inlineStr">
        <is>
          <t>Microsoft Defender for Office 365 (Plan 2)+Microsoft 365 Business Standard</t>
        </is>
      </c>
      <c r="N66" s="14" t="inlineStr"/>
    </row>
    <row r="67">
      <c r="A67" s="14" t="inlineStr">
        <is>
          <t>Johan Stols</t>
        </is>
      </c>
      <c r="B67" s="14" t="inlineStr">
        <is>
          <t>Johan.Stols@WearCheckRS.com</t>
        </is>
      </c>
      <c r="C67" s="14" t="inlineStr"/>
      <c r="D67" s="14" t="inlineStr"/>
      <c r="E67" s="14" t="inlineStr"/>
      <c r="F67" s="14" t="inlineStr">
        <is>
          <t>AFS</t>
        </is>
      </c>
      <c r="G67" s="14" t="inlineStr">
        <is>
          <t>Confirmed</t>
        </is>
      </c>
      <c r="H67" s="14" t="inlineStr">
        <is>
          <t>High</t>
        </is>
      </c>
      <c r="I67" s="14" t="inlineStr">
        <is>
          <t>No</t>
        </is>
      </c>
      <c r="J67" s="14" t="inlineStr">
        <is>
          <t>Active</t>
        </is>
      </c>
      <c r="K67" s="14" t="inlineStr">
        <is>
          <t>Confirmed match via manual alias/name rule (reviewed)</t>
        </is>
      </c>
      <c r="L67" s="14" t="n">
        <v>3</v>
      </c>
      <c r="M67" s="14" t="inlineStr">
        <is>
          <t>Microsoft Defender for Office 365 (Plan 2)+Microsoft Power Automate Free+Microsoft 365 Business Standard</t>
        </is>
      </c>
      <c r="N67" s="14" t="inlineStr"/>
    </row>
    <row r="68">
      <c r="A68" s="14" t="inlineStr">
        <is>
          <t>Johandre Oosthuizen</t>
        </is>
      </c>
      <c r="B68" s="14" t="inlineStr">
        <is>
          <t>johandre@WearCheckRS.com</t>
        </is>
      </c>
      <c r="C68" s="14" t="inlineStr">
        <is>
          <t>Johannes Andréas Oosthuizen</t>
        </is>
      </c>
      <c r="D68" s="14" t="inlineStr">
        <is>
          <t>johandre@wearcheckrs.com</t>
        </is>
      </c>
      <c r="E68" s="14" t="inlineStr">
        <is>
          <t>WEC089</t>
        </is>
      </c>
      <c r="F68" s="14" t="inlineStr">
        <is>
          <t>RS</t>
        </is>
      </c>
      <c r="G68" s="14" t="inlineStr">
        <is>
          <t>Matched</t>
        </is>
      </c>
      <c r="H68" s="14" t="inlineStr">
        <is>
          <t>High</t>
        </is>
      </c>
      <c r="I68" s="14" t="inlineStr">
        <is>
          <t>No</t>
        </is>
      </c>
      <c r="J68" s="14" t="inlineStr">
        <is>
          <t>Active</t>
        </is>
      </c>
      <c r="K68" s="14" t="inlineStr">
        <is>
          <t>Exact company email match</t>
        </is>
      </c>
      <c r="L68" s="14" t="n">
        <v>2</v>
      </c>
      <c r="M68" s="14" t="inlineStr">
        <is>
          <t>Microsoft Defender for Office 365 (Plan 2)+Microsoft 365 Business Standard</t>
        </is>
      </c>
      <c r="N68" s="14" t="inlineStr"/>
    </row>
    <row r="69">
      <c r="A69" s="14" t="inlineStr">
        <is>
          <t>jordanlionmasters</t>
        </is>
      </c>
      <c r="B69" s="14" t="inlineStr">
        <is>
          <t>jordanlionmasters_gmail.com#EXT#@wearcheckrs.onmicrosoft.com</t>
        </is>
      </c>
      <c r="C69" s="14" t="n"/>
      <c r="D69" s="14" t="inlineStr"/>
      <c r="E69" s="14" t="n"/>
      <c r="F69" s="14" t="inlineStr">
        <is>
          <t>RS</t>
        </is>
      </c>
      <c r="G69" s="14" t="inlineStr">
        <is>
          <t>Mapped by rule</t>
        </is>
      </c>
      <c r="H69" s="14" t="inlineStr">
        <is>
          <t>High</t>
        </is>
      </c>
      <c r="I69" s="14" t="inlineStr">
        <is>
          <t>No</t>
        </is>
      </c>
      <c r="J69" s="14" t="inlineStr">
        <is>
          <t>Active</t>
        </is>
      </c>
      <c r="K69" s="14" t="inlineStr">
        <is>
          <t>Generic/shared/service account defaulted to RS per instruction</t>
        </is>
      </c>
      <c r="L69" s="14" t="n">
        <v>1</v>
      </c>
      <c r="M69" s="14" t="inlineStr">
        <is>
          <t>Microsoft Fabric (Free)</t>
        </is>
      </c>
      <c r="N69" s="14" t="inlineStr"/>
    </row>
    <row r="70">
      <c r="A70" s="15" t="inlineStr">
        <is>
          <t>Kenneth Moremi</t>
        </is>
      </c>
      <c r="B70" s="15" t="inlineStr">
        <is>
          <t>kenneth@WearCheckRS.com</t>
        </is>
      </c>
      <c r="C70" s="15" t="inlineStr"/>
      <c r="D70" s="15" t="inlineStr"/>
      <c r="E70" s="15" t="inlineStr"/>
      <c r="F70" s="15" t="inlineStr">
        <is>
          <t>RS</t>
        </is>
      </c>
      <c r="G70" s="15" t="inlineStr">
        <is>
          <t>Ex-Employee</t>
        </is>
      </c>
      <c r="H70" s="15" t="inlineStr">
        <is>
          <t>High</t>
        </is>
      </c>
      <c r="I70" s="15" t="inlineStr">
        <is>
          <t>No</t>
        </is>
      </c>
      <c r="J70" s="15" t="inlineStr">
        <is>
          <t>Ex-Employee</t>
        </is>
      </c>
      <c r="K70" s="15" t="inlineStr">
        <is>
          <t>No longer an employee. FLAG: Remove licence.</t>
        </is>
      </c>
      <c r="L70" s="15" t="n">
        <v>2</v>
      </c>
      <c r="M70" s="15" t="inlineStr">
        <is>
          <t>Microsoft Defender for Office 365 (Plan 2)+Microsoft 365 Business Standard</t>
        </is>
      </c>
      <c r="N70" s="15" t="inlineStr"/>
    </row>
    <row r="71">
      <c r="A71" s="14" t="inlineStr">
        <is>
          <t>Kevin  Henwood</t>
        </is>
      </c>
      <c r="B71" s="14" t="inlineStr">
        <is>
          <t>Kevin@WearCheckRS.com</t>
        </is>
      </c>
      <c r="C71" s="14" t="inlineStr">
        <is>
          <t>Kevin Henwood</t>
        </is>
      </c>
      <c r="D71" s="14" t="inlineStr">
        <is>
          <t>kevin@wearcheckrs.com</t>
        </is>
      </c>
      <c r="E71" s="14" t="inlineStr">
        <is>
          <t>WEC135</t>
        </is>
      </c>
      <c r="F71" s="14" t="inlineStr">
        <is>
          <t>RS</t>
        </is>
      </c>
      <c r="G71" s="14" t="inlineStr">
        <is>
          <t>Matched</t>
        </is>
      </c>
      <c r="H71" s="14" t="inlineStr">
        <is>
          <t>High</t>
        </is>
      </c>
      <c r="I71" s="14" t="inlineStr">
        <is>
          <t>No</t>
        </is>
      </c>
      <c r="J71" s="14" t="inlineStr">
        <is>
          <t>Active</t>
        </is>
      </c>
      <c r="K71" s="14" t="inlineStr">
        <is>
          <t>Exact company email match</t>
        </is>
      </c>
      <c r="L71" s="14" t="n">
        <v>2</v>
      </c>
      <c r="M71" s="14" t="inlineStr">
        <is>
          <t>Microsoft Defender for Office 365 (Plan 2)+Microsoft 365 Business Standard</t>
        </is>
      </c>
      <c r="N71" s="14" t="inlineStr"/>
    </row>
    <row r="72">
      <c r="A72" s="15" t="inlineStr">
        <is>
          <t>Kevin Jonker</t>
        </is>
      </c>
      <c r="B72" s="15" t="inlineStr">
        <is>
          <t>kevinj@WearCheckRS.com</t>
        </is>
      </c>
      <c r="C72" s="15" t="inlineStr"/>
      <c r="D72" s="15" t="inlineStr"/>
      <c r="E72" s="15" t="inlineStr"/>
      <c r="F72" s="15" t="inlineStr">
        <is>
          <t>RS</t>
        </is>
      </c>
      <c r="G72" s="15" t="inlineStr">
        <is>
          <t>Ex-Employee</t>
        </is>
      </c>
      <c r="H72" s="15" t="inlineStr">
        <is>
          <t>High</t>
        </is>
      </c>
      <c r="I72" s="15" t="inlineStr">
        <is>
          <t>No</t>
        </is>
      </c>
      <c r="J72" s="15" t="inlineStr">
        <is>
          <t>Ex-Employee</t>
        </is>
      </c>
      <c r="K72" s="15" t="inlineStr">
        <is>
          <t>No longer an employee. FLAG: Remove licence.</t>
        </is>
      </c>
      <c r="L72" s="15" t="n">
        <v>2</v>
      </c>
      <c r="M72" s="15" t="inlineStr">
        <is>
          <t>Microsoft Fabric (Free)+Microsoft Power Automate Free</t>
        </is>
      </c>
      <c r="N72" s="15" t="inlineStr"/>
    </row>
    <row r="73">
      <c r="A73" s="14" t="inlineStr">
        <is>
          <t>Khotso Mosala</t>
        </is>
      </c>
      <c r="B73" s="14" t="inlineStr">
        <is>
          <t>Khotso@WearCheckRS.com</t>
        </is>
      </c>
      <c r="C73" s="14" t="inlineStr">
        <is>
          <t>Khotso Thabo Mosala</t>
        </is>
      </c>
      <c r="D73" s="14" t="inlineStr">
        <is>
          <t>khotso@wearcheckrs.com</t>
        </is>
      </c>
      <c r="E73" s="14" t="inlineStr">
        <is>
          <t>WC482</t>
        </is>
      </c>
      <c r="F73" s="14" t="inlineStr">
        <is>
          <t>AFS</t>
        </is>
      </c>
      <c r="G73" s="14" t="inlineStr">
        <is>
          <t>Matched</t>
        </is>
      </c>
      <c r="H73" s="14" t="inlineStr">
        <is>
          <t>High</t>
        </is>
      </c>
      <c r="I73" s="14" t="inlineStr">
        <is>
          <t>No</t>
        </is>
      </c>
      <c r="J73" s="14" t="inlineStr">
        <is>
          <t>Active</t>
        </is>
      </c>
      <c r="K73" s="14" t="inlineStr">
        <is>
          <t>Exact company email match</t>
        </is>
      </c>
      <c r="L73" s="14" t="n">
        <v>2</v>
      </c>
      <c r="M73" s="14" t="inlineStr">
        <is>
          <t>Microsoft Defender for Office 365 (Plan 2)+Microsoft 365 Business Standard</t>
        </is>
      </c>
      <c r="N73" s="14" t="inlineStr"/>
    </row>
    <row r="74">
      <c r="A74" s="14" t="inlineStr">
        <is>
          <t>Landus Walters</t>
        </is>
      </c>
      <c r="B74" s="14" t="inlineStr">
        <is>
          <t>Landus@WearCheckRS.com</t>
        </is>
      </c>
      <c r="C74" s="14" t="inlineStr">
        <is>
          <t>Norman Landus Walters</t>
        </is>
      </c>
      <c r="D74" s="14" t="inlineStr">
        <is>
          <t>Landus@wearcheckrs.com</t>
        </is>
      </c>
      <c r="E74" s="14" t="inlineStr">
        <is>
          <t>WC509</t>
        </is>
      </c>
      <c r="F74" s="14" t="inlineStr">
        <is>
          <t>AFS</t>
        </is>
      </c>
      <c r="G74" s="14" t="inlineStr">
        <is>
          <t>Matched</t>
        </is>
      </c>
      <c r="H74" s="14" t="inlineStr">
        <is>
          <t>High</t>
        </is>
      </c>
      <c r="I74" s="14" t="inlineStr">
        <is>
          <t>No</t>
        </is>
      </c>
      <c r="J74" s="14" t="inlineStr">
        <is>
          <t>Active</t>
        </is>
      </c>
      <c r="K74" s="14" t="inlineStr">
        <is>
          <t>Exact company email match</t>
        </is>
      </c>
      <c r="L74" s="14" t="n">
        <v>2</v>
      </c>
      <c r="M74" s="14" t="inlineStr">
        <is>
          <t>Microsoft Defender for Office 365 (Plan 2)+Microsoft 365 Business Standard</t>
        </is>
      </c>
      <c r="N74" s="14" t="inlineStr"/>
    </row>
    <row r="75">
      <c r="A75" s="14" t="inlineStr">
        <is>
          <t>Lea Bodenstein</t>
        </is>
      </c>
      <c r="B75" s="14" t="inlineStr">
        <is>
          <t>Lea@WearCheckRS.com</t>
        </is>
      </c>
      <c r="C75" s="14" t="inlineStr"/>
      <c r="D75" s="14" t="inlineStr"/>
      <c r="E75" s="14" t="inlineStr"/>
      <c r="F75" s="14" t="inlineStr">
        <is>
          <t>RS</t>
        </is>
      </c>
      <c r="G75" s="14" t="inlineStr">
        <is>
          <t>Contractor</t>
        </is>
      </c>
      <c r="H75" s="14" t="inlineStr">
        <is>
          <t>High</t>
        </is>
      </c>
      <c r="I75" s="14" t="inlineStr">
        <is>
          <t>No</t>
        </is>
      </c>
      <c r="J75" s="14" t="inlineStr">
        <is>
          <t>Contractor</t>
        </is>
      </c>
      <c r="K75" s="14" t="inlineStr">
        <is>
          <t>Not an employee — contractor. Licence allocated to RS.</t>
        </is>
      </c>
      <c r="L75" s="14" t="n">
        <v>3</v>
      </c>
      <c r="M75" s="14" t="inlineStr">
        <is>
          <t>Microsoft 365 Business Premium+Microsoft Defender for Office 365 (Plan 2)+Microsoft Fabric (Free)</t>
        </is>
      </c>
      <c r="N75" s="14" t="inlineStr"/>
    </row>
    <row r="76">
      <c r="A76" s="14" t="inlineStr">
        <is>
          <t>Leon Coetzee</t>
        </is>
      </c>
      <c r="B76" s="14" t="inlineStr">
        <is>
          <t>leon@WearCheckRS.com</t>
        </is>
      </c>
      <c r="C76" s="14" t="inlineStr">
        <is>
          <t>Leon Coetzee</t>
        </is>
      </c>
      <c r="D76" s="14" t="inlineStr">
        <is>
          <t>Leon@wearcheckrs.com</t>
        </is>
      </c>
      <c r="E76" s="14" t="inlineStr">
        <is>
          <t>WC455</t>
        </is>
      </c>
      <c r="F76" s="14" t="inlineStr">
        <is>
          <t>RS</t>
        </is>
      </c>
      <c r="G76" s="14" t="inlineStr">
        <is>
          <t>Matched</t>
        </is>
      </c>
      <c r="H76" s="14" t="inlineStr">
        <is>
          <t>High</t>
        </is>
      </c>
      <c r="I76" s="14" t="inlineStr">
        <is>
          <t>No</t>
        </is>
      </c>
      <c r="J76" s="14" t="inlineStr">
        <is>
          <t>Active</t>
        </is>
      </c>
      <c r="K76" s="14" t="inlineStr">
        <is>
          <t>Exact company email match</t>
        </is>
      </c>
      <c r="L76" s="14" t="n">
        <v>3</v>
      </c>
      <c r="M76" s="14" t="inlineStr">
        <is>
          <t>Microsoft Defender for Office 365 (Plan 2)+Microsoft Power Automate Free+Microsoft 365 Business Standard</t>
        </is>
      </c>
      <c r="N76" s="14" t="inlineStr"/>
    </row>
    <row r="77">
      <c r="A77" s="14" t="inlineStr">
        <is>
          <t>Lesego Khuthwane</t>
        </is>
      </c>
      <c r="B77" s="14" t="inlineStr">
        <is>
          <t>Lesego@WearCheckRS.com</t>
        </is>
      </c>
      <c r="C77" s="14" t="inlineStr">
        <is>
          <t>Lesego Khuthwane</t>
        </is>
      </c>
      <c r="D77" s="14" t="inlineStr">
        <is>
          <t>Lesego@WearCheckRS.com</t>
        </is>
      </c>
      <c r="E77" s="14" t="inlineStr">
        <is>
          <t>WEC126</t>
        </is>
      </c>
      <c r="F77" s="14" t="inlineStr">
        <is>
          <t>RS</t>
        </is>
      </c>
      <c r="G77" s="14" t="inlineStr">
        <is>
          <t>Matched</t>
        </is>
      </c>
      <c r="H77" s="14" t="inlineStr">
        <is>
          <t>High</t>
        </is>
      </c>
      <c r="I77" s="14" t="inlineStr">
        <is>
          <t>No</t>
        </is>
      </c>
      <c r="J77" s="14" t="inlineStr">
        <is>
          <t>Active</t>
        </is>
      </c>
      <c r="K77" s="14" t="inlineStr">
        <is>
          <t>Exact company email match</t>
        </is>
      </c>
      <c r="L77" s="14" t="n">
        <v>9</v>
      </c>
      <c r="M77" s="14" t="inlineStr">
        <is>
          <t>Microsoft 365 E3+Power BI Premium Per User+Microsoft Defender for Office 365 (Plan 2)+Microsoft Power Apps for Developer+Power Pages vTrial for Makers+Microsoft Fabric (Free)+Microsoft Power Apps Plan 2 Trial+Microsoft Copilot Studio Viral Trial+Microsoft Power Automate Free</t>
        </is>
      </c>
      <c r="N77" s="14" t="inlineStr"/>
    </row>
    <row r="78">
      <c r="A78" s="14" t="inlineStr">
        <is>
          <t>Lloyd Ngobeni</t>
        </is>
      </c>
      <c r="B78" s="14" t="inlineStr">
        <is>
          <t>Lloyd@WearCheckRS.com</t>
        </is>
      </c>
      <c r="C78" s="14" t="inlineStr">
        <is>
          <t>Lloyd Ngobeni</t>
        </is>
      </c>
      <c r="D78" s="14" t="inlineStr">
        <is>
          <t>lloyd@wearcheckrs.com</t>
        </is>
      </c>
      <c r="E78" s="14" t="inlineStr">
        <is>
          <t>WEC099</t>
        </is>
      </c>
      <c r="F78" s="14" t="inlineStr">
        <is>
          <t>RS</t>
        </is>
      </c>
      <c r="G78" s="14" t="inlineStr">
        <is>
          <t>Matched</t>
        </is>
      </c>
      <c r="H78" s="14" t="inlineStr">
        <is>
          <t>High</t>
        </is>
      </c>
      <c r="I78" s="14" t="inlineStr">
        <is>
          <t>No</t>
        </is>
      </c>
      <c r="J78" s="14" t="inlineStr">
        <is>
          <t>Active</t>
        </is>
      </c>
      <c r="K78" s="14" t="inlineStr">
        <is>
          <t>Exact company email match</t>
        </is>
      </c>
      <c r="L78" s="14" t="n">
        <v>3</v>
      </c>
      <c r="M78" s="14" t="inlineStr">
        <is>
          <t>Microsoft Defender for Office 365 (Plan 2)+Microsoft Power Automate Free+Microsoft 365 Business Standard</t>
        </is>
      </c>
      <c r="N78" s="14" t="inlineStr"/>
    </row>
    <row r="79">
      <c r="A79" s="14" t="inlineStr">
        <is>
          <t>Londolani  Managa</t>
        </is>
      </c>
      <c r="B79" s="14" t="inlineStr">
        <is>
          <t>LondolaniM@WearCheckRS.com</t>
        </is>
      </c>
      <c r="C79" s="14" t="inlineStr">
        <is>
          <t>Londolani Managa</t>
        </is>
      </c>
      <c r="D79" s="14" t="inlineStr">
        <is>
          <t>londolanim@wearcheckrs.com</t>
        </is>
      </c>
      <c r="E79" s="14" t="inlineStr">
        <is>
          <t>WC648</t>
        </is>
      </c>
      <c r="F79" s="14" t="inlineStr">
        <is>
          <t>RS</t>
        </is>
      </c>
      <c r="G79" s="14" t="inlineStr">
        <is>
          <t>Matched</t>
        </is>
      </c>
      <c r="H79" s="14" t="inlineStr">
        <is>
          <t>High</t>
        </is>
      </c>
      <c r="I79" s="14" t="inlineStr">
        <is>
          <t>No</t>
        </is>
      </c>
      <c r="J79" s="14" t="inlineStr">
        <is>
          <t>Active</t>
        </is>
      </c>
      <c r="K79" s="14" t="inlineStr">
        <is>
          <t>Exact company email match</t>
        </is>
      </c>
      <c r="L79" s="14" t="n">
        <v>2</v>
      </c>
      <c r="M79" s="14" t="inlineStr">
        <is>
          <t>Microsoft Defender for Office 365 (Plan 2)+Microsoft 365 Business Standard</t>
        </is>
      </c>
      <c r="N79" s="14" t="inlineStr"/>
    </row>
    <row r="80">
      <c r="A80" s="14" t="inlineStr">
        <is>
          <t>Lorraine Mokgethi</t>
        </is>
      </c>
      <c r="B80" s="14" t="inlineStr">
        <is>
          <t>Lorraine@WearCheckRS.com</t>
        </is>
      </c>
      <c r="C80" s="14" t="inlineStr"/>
      <c r="D80" s="14" t="inlineStr"/>
      <c r="E80" s="14" t="inlineStr"/>
      <c r="F80" s="14" t="inlineStr">
        <is>
          <t>AFS</t>
        </is>
      </c>
      <c r="G80" s="14" t="inlineStr">
        <is>
          <t>Confirmed</t>
        </is>
      </c>
      <c r="H80" s="14" t="inlineStr">
        <is>
          <t>High</t>
        </is>
      </c>
      <c r="I80" s="14" t="inlineStr">
        <is>
          <t>No</t>
        </is>
      </c>
      <c r="J80" s="14" t="inlineStr">
        <is>
          <t>Active</t>
        </is>
      </c>
      <c r="K80" s="14" t="inlineStr">
        <is>
          <t>Confirmed: she belongs here (reviewed)</t>
        </is>
      </c>
      <c r="L80" s="14" t="n">
        <v>2</v>
      </c>
      <c r="M80" s="14" t="inlineStr">
        <is>
          <t>Microsoft Defender for Office 365 (Plan 2)+Microsoft 365 Business Premium</t>
        </is>
      </c>
      <c r="N80" s="14" t="inlineStr"/>
    </row>
    <row r="81">
      <c r="A81" s="16" t="inlineStr">
        <is>
          <t>Louis Peacock</t>
        </is>
      </c>
      <c r="B81" s="16" t="inlineStr">
        <is>
          <t>louis@WearCheckRS.com</t>
        </is>
      </c>
      <c r="C81" s="16" t="inlineStr">
        <is>
          <t>Louis Robert Peacock</t>
        </is>
      </c>
      <c r="D81" s="16" t="inlineStr">
        <is>
          <t>louis@wearcheckrs.com</t>
        </is>
      </c>
      <c r="E81" s="16" t="inlineStr">
        <is>
          <t>WC277</t>
        </is>
      </c>
      <c r="F81" s="16" t="inlineStr">
        <is>
          <t>RS</t>
        </is>
      </c>
      <c r="G81" s="16" t="inlineStr">
        <is>
          <t>Matched</t>
        </is>
      </c>
      <c r="H81" s="16" t="inlineStr">
        <is>
          <t>High</t>
        </is>
      </c>
      <c r="I81" s="16" t="inlineStr">
        <is>
          <t>No</t>
        </is>
      </c>
      <c r="J81" s="16" t="inlineStr">
        <is>
          <t>Active</t>
        </is>
      </c>
      <c r="K81" s="16" t="inlineStr">
        <is>
          <t>Exact company email match</t>
        </is>
      </c>
      <c r="L81" s="16" t="n">
        <v>4</v>
      </c>
      <c r="M81" s="16" t="inlineStr">
        <is>
          <t>Microsoft Defender for Office 365 (Plan 2)+Power BI Premium Per User+Microsoft 365 E3+Microsoft Power Automate Free</t>
        </is>
      </c>
      <c r="N81" s="16" t="inlineStr">
        <is>
          <t>Duplicate: 2 accounts (louis@WearCheckRS.com, Louis_Zoho@WearCheckRS.com)</t>
        </is>
      </c>
    </row>
    <row r="82">
      <c r="A82" s="16" t="inlineStr">
        <is>
          <t>Louis Zoho</t>
        </is>
      </c>
      <c r="B82" s="16" t="inlineStr">
        <is>
          <t>Louis_Zoho@WearCheckRS.com</t>
        </is>
      </c>
      <c r="C82" s="16" t="inlineStr">
        <is>
          <t>Louis Robert Peacock</t>
        </is>
      </c>
      <c r="D82" s="16" t="inlineStr">
        <is>
          <t>louis@wearcheckrs.com</t>
        </is>
      </c>
      <c r="E82" s="16" t="inlineStr">
        <is>
          <t>WC277</t>
        </is>
      </c>
      <c r="F82" s="16" t="inlineStr">
        <is>
          <t>RS</t>
        </is>
      </c>
      <c r="G82" s="16" t="inlineStr">
        <is>
          <t>Matched</t>
        </is>
      </c>
      <c r="H82" s="16" t="inlineStr">
        <is>
          <t>Medium</t>
        </is>
      </c>
      <c r="I82" s="16" t="inlineStr">
        <is>
          <t>No</t>
        </is>
      </c>
      <c r="J82" s="16" t="inlineStr">
        <is>
          <t>Active</t>
        </is>
      </c>
      <c r="K82" s="16" t="inlineStr">
        <is>
          <t>Matched via email alias/local-part</t>
        </is>
      </c>
      <c r="L82" s="16" t="n">
        <v>1</v>
      </c>
      <c r="M82" s="16" t="inlineStr">
        <is>
          <t>Microsoft 365 Business Standard</t>
        </is>
      </c>
      <c r="N82" s="16" t="inlineStr">
        <is>
          <t>Duplicate: 2 accounts (louis@WearCheckRS.com, Louis_Zoho@WearCheckRS.com)</t>
        </is>
      </c>
    </row>
    <row r="83">
      <c r="A83" s="14" t="inlineStr">
        <is>
          <t>Lubby Lubis</t>
        </is>
      </c>
      <c r="B83" s="14" t="inlineStr">
        <is>
          <t>lubby@WearCheckRS.com</t>
        </is>
      </c>
      <c r="C83" s="14" t="inlineStr">
        <is>
          <t>Labby Jeffrey Lubis</t>
        </is>
      </c>
      <c r="D83" s="14" t="inlineStr">
        <is>
          <t>lubby@wearcheckrs.com</t>
        </is>
      </c>
      <c r="E83" s="14" t="inlineStr">
        <is>
          <t>WEC118</t>
        </is>
      </c>
      <c r="F83" s="14" t="inlineStr">
        <is>
          <t>RS</t>
        </is>
      </c>
      <c r="G83" s="14" t="inlineStr">
        <is>
          <t>Matched</t>
        </is>
      </c>
      <c r="H83" s="14" t="inlineStr">
        <is>
          <t>High</t>
        </is>
      </c>
      <c r="I83" s="14" t="inlineStr">
        <is>
          <t>No</t>
        </is>
      </c>
      <c r="J83" s="14" t="inlineStr">
        <is>
          <t>Active</t>
        </is>
      </c>
      <c r="K83" s="14" t="inlineStr">
        <is>
          <t>Exact company email match</t>
        </is>
      </c>
      <c r="L83" s="14" t="n">
        <v>2</v>
      </c>
      <c r="M83" s="14" t="inlineStr">
        <is>
          <t>Microsoft Defender for Office 365 (Plan 2)+Microsoft 365 Business Standard</t>
        </is>
      </c>
      <c r="N83" s="14" t="inlineStr"/>
    </row>
    <row r="84">
      <c r="A84" s="14" t="inlineStr">
        <is>
          <t>Lucas Luus</t>
        </is>
      </c>
      <c r="B84" s="14" t="inlineStr">
        <is>
          <t>lucas@WearCheckRS.com</t>
        </is>
      </c>
      <c r="C84" s="14" t="inlineStr">
        <is>
          <t>Lucas Johannes Bartel Luus</t>
        </is>
      </c>
      <c r="D84" s="14" t="inlineStr">
        <is>
          <t>lucas@wearcheckrs.com</t>
        </is>
      </c>
      <c r="E84" s="14" t="inlineStr">
        <is>
          <t>WEC068</t>
        </is>
      </c>
      <c r="F84" s="14" t="inlineStr">
        <is>
          <t>RS</t>
        </is>
      </c>
      <c r="G84" s="14" t="inlineStr">
        <is>
          <t>Matched</t>
        </is>
      </c>
      <c r="H84" s="14" t="inlineStr">
        <is>
          <t>High</t>
        </is>
      </c>
      <c r="I84" s="14" t="inlineStr">
        <is>
          <t>No</t>
        </is>
      </c>
      <c r="J84" s="14" t="inlineStr">
        <is>
          <t>Active</t>
        </is>
      </c>
      <c r="K84" s="14" t="inlineStr">
        <is>
          <t>Exact company email match</t>
        </is>
      </c>
      <c r="L84" s="14" t="n">
        <v>2</v>
      </c>
      <c r="M84" s="14" t="inlineStr">
        <is>
          <t>Microsoft Defender for Office 365 (Plan 2)+Microsoft 365 Business Standard</t>
        </is>
      </c>
      <c r="N84" s="14" t="inlineStr"/>
    </row>
    <row r="85">
      <c r="A85" s="14" t="inlineStr">
        <is>
          <t>Mandé Coetzee</t>
        </is>
      </c>
      <c r="B85" s="14" t="inlineStr">
        <is>
          <t>Mande@WearCheckRS.com</t>
        </is>
      </c>
      <c r="C85" s="14" t="inlineStr">
        <is>
          <t>Mandé Coetzee</t>
        </is>
      </c>
      <c r="D85" s="14" t="inlineStr">
        <is>
          <t>mande@wearcheckrs.com</t>
        </is>
      </c>
      <c r="E85" s="14" t="inlineStr">
        <is>
          <t>WEC116</t>
        </is>
      </c>
      <c r="F85" s="14" t="inlineStr">
        <is>
          <t>RS</t>
        </is>
      </c>
      <c r="G85" s="14" t="inlineStr">
        <is>
          <t>Matched</t>
        </is>
      </c>
      <c r="H85" s="14" t="inlineStr">
        <is>
          <t>High</t>
        </is>
      </c>
      <c r="I85" s="14" t="inlineStr">
        <is>
          <t>No</t>
        </is>
      </c>
      <c r="J85" s="14" t="inlineStr">
        <is>
          <t>Active</t>
        </is>
      </c>
      <c r="K85" s="14" t="inlineStr">
        <is>
          <t>Exact company email match</t>
        </is>
      </c>
      <c r="L85" s="14" t="n">
        <v>4</v>
      </c>
      <c r="M85" s="14" t="inlineStr">
        <is>
          <t>Microsoft Defender for Office 365 (Plan 2)+Microsoft Fabric (Free)+Microsoft Power Automate Free+Microsoft 365 E3</t>
        </is>
      </c>
      <c r="N85" s="14" t="inlineStr"/>
    </row>
    <row r="86">
      <c r="A86" s="15" t="inlineStr">
        <is>
          <t>Mandiso Muchanga</t>
        </is>
      </c>
      <c r="B86" s="15" t="inlineStr">
        <is>
          <t>Mandiso@WearCheckRS.com</t>
        </is>
      </c>
      <c r="C86" s="15" t="inlineStr"/>
      <c r="D86" s="15" t="inlineStr"/>
      <c r="E86" s="15" t="inlineStr"/>
      <c r="F86" s="15" t="inlineStr">
        <is>
          <t>RS</t>
        </is>
      </c>
      <c r="G86" s="15" t="inlineStr">
        <is>
          <t>Ex-Employee</t>
        </is>
      </c>
      <c r="H86" s="15" t="inlineStr">
        <is>
          <t>High</t>
        </is>
      </c>
      <c r="I86" s="15" t="inlineStr">
        <is>
          <t>No</t>
        </is>
      </c>
      <c r="J86" s="15" t="inlineStr">
        <is>
          <t>Ex-Employee</t>
        </is>
      </c>
      <c r="K86" s="15" t="inlineStr">
        <is>
          <t>No longer an employee. FLAG: Remove licence.</t>
        </is>
      </c>
      <c r="L86" s="15" t="n">
        <v>2</v>
      </c>
      <c r="M86" s="15" t="inlineStr">
        <is>
          <t>Microsoft Defender for Office 365 (Plan 2)+Microsoft 365 Business Standard</t>
        </is>
      </c>
      <c r="N86" s="15" t="inlineStr"/>
    </row>
    <row r="87">
      <c r="A87" s="14" t="inlineStr">
        <is>
          <t>Marcel Schoeman</t>
        </is>
      </c>
      <c r="B87" s="14" t="inlineStr">
        <is>
          <t>Marcel@WearCheckRS.com</t>
        </is>
      </c>
      <c r="C87" s="14" t="inlineStr">
        <is>
          <t>Marcel Schoeman</t>
        </is>
      </c>
      <c r="D87" s="14" t="inlineStr">
        <is>
          <t>marcel@wearcheckrs.com</t>
        </is>
      </c>
      <c r="E87" s="14" t="inlineStr">
        <is>
          <t>WEC102</t>
        </is>
      </c>
      <c r="F87" s="14" t="inlineStr">
        <is>
          <t>RS</t>
        </is>
      </c>
      <c r="G87" s="14" t="inlineStr">
        <is>
          <t>Matched</t>
        </is>
      </c>
      <c r="H87" s="14" t="inlineStr">
        <is>
          <t>High</t>
        </is>
      </c>
      <c r="I87" s="14" t="inlineStr">
        <is>
          <t>No</t>
        </is>
      </c>
      <c r="J87" s="14" t="inlineStr">
        <is>
          <t>Active</t>
        </is>
      </c>
      <c r="K87" s="14" t="inlineStr">
        <is>
          <t>Exact company email match</t>
        </is>
      </c>
      <c r="L87" s="14" t="n">
        <v>3</v>
      </c>
      <c r="M87" s="14" t="inlineStr">
        <is>
          <t>Microsoft 365 Business Premium+Microsoft Defender for Office 365 (Plan 2)+Microsoft Fabric (Free)</t>
        </is>
      </c>
      <c r="N87" s="14" t="inlineStr"/>
    </row>
    <row r="88">
      <c r="A88" s="14" t="inlineStr">
        <is>
          <t>Mariette Du Rand</t>
        </is>
      </c>
      <c r="B88" s="14" t="inlineStr">
        <is>
          <t>mariette@WearCheckRS.com</t>
        </is>
      </c>
      <c r="C88" s="14" t="inlineStr">
        <is>
          <t>Mariette du Rand</t>
        </is>
      </c>
      <c r="D88" s="14" t="inlineStr">
        <is>
          <t>mariette@wearcheckrs.com</t>
        </is>
      </c>
      <c r="E88" s="14" t="inlineStr">
        <is>
          <t>WEC109</t>
        </is>
      </c>
      <c r="F88" s="14" t="inlineStr">
        <is>
          <t>RS</t>
        </is>
      </c>
      <c r="G88" s="14" t="inlineStr">
        <is>
          <t>Matched</t>
        </is>
      </c>
      <c r="H88" s="14" t="inlineStr">
        <is>
          <t>High</t>
        </is>
      </c>
      <c r="I88" s="14" t="inlineStr">
        <is>
          <t>No</t>
        </is>
      </c>
      <c r="J88" s="14" t="inlineStr">
        <is>
          <t>Active</t>
        </is>
      </c>
      <c r="K88" s="14" t="inlineStr">
        <is>
          <t>Exact company email match</t>
        </is>
      </c>
      <c r="L88" s="14" t="n">
        <v>2</v>
      </c>
      <c r="M88" s="14" t="inlineStr">
        <is>
          <t>Microsoft 365 Business Premium+Microsoft Defender for Office 365 (Plan 2)</t>
        </is>
      </c>
      <c r="N88" s="14" t="inlineStr"/>
    </row>
    <row r="89">
      <c r="A89" s="14" t="inlineStr">
        <is>
          <t>Marshall Rasimphi</t>
        </is>
      </c>
      <c r="B89" s="14" t="inlineStr">
        <is>
          <t>marshallr@WearCheckRS.com</t>
        </is>
      </c>
      <c r="C89" s="14" t="inlineStr">
        <is>
          <t>Ailwel Marshall Rasimphi</t>
        </is>
      </c>
      <c r="D89" s="14" t="inlineStr">
        <is>
          <t>marshallr@wearcheckrs.com</t>
        </is>
      </c>
      <c r="E89" s="14" t="inlineStr">
        <is>
          <t>WEC094</t>
        </is>
      </c>
      <c r="F89" s="14" t="inlineStr">
        <is>
          <t>RS</t>
        </is>
      </c>
      <c r="G89" s="14" t="inlineStr">
        <is>
          <t>Matched</t>
        </is>
      </c>
      <c r="H89" s="14" t="inlineStr">
        <is>
          <t>High</t>
        </is>
      </c>
      <c r="I89" s="14" t="inlineStr">
        <is>
          <t>No</t>
        </is>
      </c>
      <c r="J89" s="14" t="inlineStr">
        <is>
          <t>Active</t>
        </is>
      </c>
      <c r="K89" s="14" t="inlineStr">
        <is>
          <t>Exact company email match</t>
        </is>
      </c>
      <c r="L89" s="14" t="n">
        <v>2</v>
      </c>
      <c r="M89" s="14" t="inlineStr">
        <is>
          <t>Microsoft Defender for Office 365 (Plan 2)+Microsoft 365 Business Standard</t>
        </is>
      </c>
      <c r="N89" s="14" t="inlineStr"/>
    </row>
    <row r="90">
      <c r="A90" s="14" t="inlineStr">
        <is>
          <t>Marthinus Admin Account</t>
        </is>
      </c>
      <c r="B90" s="14" t="inlineStr">
        <is>
          <t>marthinus_admin@wearcheckrs.com</t>
        </is>
      </c>
      <c r="C90" s="14" t="n"/>
      <c r="D90" s="14" t="inlineStr"/>
      <c r="E90" s="14" t="n"/>
      <c r="F90" s="14" t="inlineStr">
        <is>
          <t>RS</t>
        </is>
      </c>
      <c r="G90" s="14" t="inlineStr">
        <is>
          <t>Mapped by rule</t>
        </is>
      </c>
      <c r="H90" s="14" t="inlineStr">
        <is>
          <t>High</t>
        </is>
      </c>
      <c r="I90" s="14" t="inlineStr">
        <is>
          <t>No</t>
        </is>
      </c>
      <c r="J90" s="14" t="inlineStr">
        <is>
          <t>Active</t>
        </is>
      </c>
      <c r="K90" s="14" t="inlineStr">
        <is>
          <t>Generic/shared/service account defaulted to RS per instruction</t>
        </is>
      </c>
      <c r="L90" s="14" t="n">
        <v>2</v>
      </c>
      <c r="M90" s="14" t="inlineStr">
        <is>
          <t>Microsoft Power Automate Free+Microsoft Fabric (Free)</t>
        </is>
      </c>
      <c r="N90" s="14" t="inlineStr"/>
    </row>
    <row r="91">
      <c r="A91" s="14" t="inlineStr">
        <is>
          <t>Marthinus Steenkamp</t>
        </is>
      </c>
      <c r="B91" s="14" t="inlineStr">
        <is>
          <t>Marthinus@WearCheckRS.com</t>
        </is>
      </c>
      <c r="C91" s="14" t="inlineStr"/>
      <c r="D91" s="14" t="inlineStr"/>
      <c r="E91" s="14" t="inlineStr"/>
      <c r="F91" s="14" t="inlineStr">
        <is>
          <t>RS</t>
        </is>
      </c>
      <c r="G91" s="14" t="inlineStr">
        <is>
          <t>Contractor</t>
        </is>
      </c>
      <c r="H91" s="14" t="inlineStr">
        <is>
          <t>High</t>
        </is>
      </c>
      <c r="I91" s="14" t="inlineStr">
        <is>
          <t>No</t>
        </is>
      </c>
      <c r="J91" s="14" t="inlineStr">
        <is>
          <t>Contractor</t>
        </is>
      </c>
      <c r="K91" s="14" t="inlineStr">
        <is>
          <t>Not an employee — contractor. Licence allocated to RS.</t>
        </is>
      </c>
      <c r="L91" s="14" t="n">
        <v>3</v>
      </c>
      <c r="M91" s="14" t="inlineStr">
        <is>
          <t>Microsoft Defender for Office 365 (Plan 2)+Microsoft 365 E3+Microsoft Fabric (Free)</t>
        </is>
      </c>
      <c r="N91" s="14" t="inlineStr"/>
    </row>
    <row r="92">
      <c r="A92" s="14" t="inlineStr">
        <is>
          <t>Martiens Van Aarde</t>
        </is>
      </c>
      <c r="B92" s="14" t="inlineStr">
        <is>
          <t>martiens@WearCheckRS.com</t>
        </is>
      </c>
      <c r="C92" s="14" t="inlineStr">
        <is>
          <t>Marthinus Jacobus van Aarde</t>
        </is>
      </c>
      <c r="D92" s="14" t="inlineStr">
        <is>
          <t>martiens@wearcheckrs.com</t>
        </is>
      </c>
      <c r="E92" s="14" t="inlineStr">
        <is>
          <t>WEC106</t>
        </is>
      </c>
      <c r="F92" s="14" t="inlineStr">
        <is>
          <t>RS</t>
        </is>
      </c>
      <c r="G92" s="14" t="inlineStr">
        <is>
          <t>Matched</t>
        </is>
      </c>
      <c r="H92" s="14" t="inlineStr">
        <is>
          <t>High</t>
        </is>
      </c>
      <c r="I92" s="14" t="inlineStr">
        <is>
          <t>No</t>
        </is>
      </c>
      <c r="J92" s="14" t="inlineStr">
        <is>
          <t>Active</t>
        </is>
      </c>
      <c r="K92" s="14" t="inlineStr">
        <is>
          <t>Exact company email match</t>
        </is>
      </c>
      <c r="L92" s="14" t="n">
        <v>3</v>
      </c>
      <c r="M92" s="14" t="inlineStr">
        <is>
          <t>Microsoft Power Automate Free+Microsoft Defender for Office 365 (Plan 2)+Microsoft 365 Business Standard</t>
        </is>
      </c>
      <c r="N92" s="14" t="inlineStr"/>
    </row>
    <row r="93">
      <c r="A93" s="15" t="inlineStr">
        <is>
          <t>Martin Prinsloo</t>
        </is>
      </c>
      <c r="B93" s="15" t="inlineStr">
        <is>
          <t>martin.prinsloo@WearCheckRS.com</t>
        </is>
      </c>
      <c r="C93" s="15" t="inlineStr"/>
      <c r="D93" s="15" t="inlineStr"/>
      <c r="E93" s="15" t="inlineStr"/>
      <c r="F93" s="15" t="inlineStr">
        <is>
          <t>RS</t>
        </is>
      </c>
      <c r="G93" s="15" t="inlineStr">
        <is>
          <t>Ex-Employee</t>
        </is>
      </c>
      <c r="H93" s="15" t="inlineStr">
        <is>
          <t>High</t>
        </is>
      </c>
      <c r="I93" s="15" t="inlineStr">
        <is>
          <t>No</t>
        </is>
      </c>
      <c r="J93" s="15" t="inlineStr">
        <is>
          <t>Ex-Employee</t>
        </is>
      </c>
      <c r="K93" s="15" t="inlineStr">
        <is>
          <t>No longer an employee. FLAG: Remove licence.</t>
        </is>
      </c>
      <c r="L93" s="15" t="n">
        <v>1</v>
      </c>
      <c r="M93" s="15" t="inlineStr">
        <is>
          <t>Microsoft Fabric (Free)</t>
        </is>
      </c>
      <c r="N93" s="15" t="inlineStr"/>
    </row>
    <row r="94">
      <c r="A94" s="14" t="inlineStr">
        <is>
          <t>Megan Salzwedel</t>
        </is>
      </c>
      <c r="B94" s="14" t="inlineStr">
        <is>
          <t>Megan@wearcheckrs.com</t>
        </is>
      </c>
      <c r="C94" s="14" t="inlineStr">
        <is>
          <t>Megan Salzwedel</t>
        </is>
      </c>
      <c r="D94" s="14" t="inlineStr">
        <is>
          <t>megan@wearcheckrs.com</t>
        </is>
      </c>
      <c r="E94" s="14" t="inlineStr">
        <is>
          <t>WEC104</t>
        </is>
      </c>
      <c r="F94" s="14" t="inlineStr">
        <is>
          <t>RS</t>
        </is>
      </c>
      <c r="G94" s="14" t="inlineStr">
        <is>
          <t>Matched</t>
        </is>
      </c>
      <c r="H94" s="14" t="inlineStr">
        <is>
          <t>High</t>
        </is>
      </c>
      <c r="I94" s="14" t="inlineStr">
        <is>
          <t>No</t>
        </is>
      </c>
      <c r="J94" s="14" t="inlineStr">
        <is>
          <t>Active</t>
        </is>
      </c>
      <c r="K94" s="14" t="inlineStr">
        <is>
          <t>Exact company email match</t>
        </is>
      </c>
      <c r="L94" s="14" t="n">
        <v>5</v>
      </c>
      <c r="M94" s="14" t="inlineStr">
        <is>
          <t>Microsoft 365 Business Premium+Microsoft Defender for Office 365 (Plan 2)+Microsoft Power Apps Plan 2 Trial+Microsoft Fabric (Free)+Microsoft Power Automate Free</t>
        </is>
      </c>
      <c r="N94" s="14" t="inlineStr"/>
    </row>
    <row r="95">
      <c r="A95" s="14" t="inlineStr">
        <is>
          <t>Mervyn Gibbons</t>
        </is>
      </c>
      <c r="B95" s="14" t="inlineStr">
        <is>
          <t>Mervyn@WearCheckRS.com</t>
        </is>
      </c>
      <c r="C95" s="14" t="inlineStr"/>
      <c r="D95" s="14" t="inlineStr"/>
      <c r="E95" s="14" t="inlineStr"/>
      <c r="F95" s="14" t="inlineStr">
        <is>
          <t>AFS</t>
        </is>
      </c>
      <c r="G95" s="14" t="inlineStr">
        <is>
          <t>Confirmed</t>
        </is>
      </c>
      <c r="H95" s="14" t="inlineStr">
        <is>
          <t>High</t>
        </is>
      </c>
      <c r="I95" s="14" t="inlineStr">
        <is>
          <t>No</t>
        </is>
      </c>
      <c r="J95" s="14" t="inlineStr">
        <is>
          <t>Active</t>
        </is>
      </c>
      <c r="K95" s="14" t="inlineStr">
        <is>
          <t>Confirmed match to mervyng@wearcheck.co.za (reviewed)</t>
        </is>
      </c>
      <c r="L95" s="14" t="n">
        <v>9</v>
      </c>
      <c r="M95" s="14" t="inlineStr">
        <is>
          <t>Microsoft Power Automate Free+Microsoft 365 Business Standard+Microsoft Power Apps Plan 2 Trial+Microsoft Fabric (Free)+Microsoft Copilot Studio Viral Trial+Microsoft Power Apps for Developer+Power Pages vTrial for Makers+Microsoft Defender for Office 365 (Plan 2)+Dynamics 365 Customer Insights Self-Service</t>
        </is>
      </c>
      <c r="N95" s="14" t="inlineStr"/>
    </row>
    <row r="96">
      <c r="A96" s="14" t="inlineStr">
        <is>
          <t>Meshack Nxumalo</t>
        </is>
      </c>
      <c r="B96" s="14" t="inlineStr">
        <is>
          <t>meshack@WearCheckRS.com</t>
        </is>
      </c>
      <c r="C96" s="14" t="inlineStr">
        <is>
          <t>Meshack Welcome Nxumalo</t>
        </is>
      </c>
      <c r="D96" s="14" t="inlineStr">
        <is>
          <t>meshack@wearcheckrs.com</t>
        </is>
      </c>
      <c r="E96" s="14" t="inlineStr">
        <is>
          <t>WEC088</t>
        </is>
      </c>
      <c r="F96" s="14" t="inlineStr">
        <is>
          <t>RS</t>
        </is>
      </c>
      <c r="G96" s="14" t="inlineStr">
        <is>
          <t>Matched</t>
        </is>
      </c>
      <c r="H96" s="14" t="inlineStr">
        <is>
          <t>High</t>
        </is>
      </c>
      <c r="I96" s="14" t="inlineStr">
        <is>
          <t>No</t>
        </is>
      </c>
      <c r="J96" s="14" t="inlineStr">
        <is>
          <t>Active</t>
        </is>
      </c>
      <c r="K96" s="14" t="inlineStr">
        <is>
          <t>Exact company email match</t>
        </is>
      </c>
      <c r="L96" s="14" t="n">
        <v>2</v>
      </c>
      <c r="M96" s="14" t="inlineStr">
        <is>
          <t>Microsoft Defender for Office 365 (Plan 2)+Microsoft 365 Business Standard</t>
        </is>
      </c>
      <c r="N96" s="14" t="inlineStr"/>
    </row>
    <row r="97">
      <c r="A97" s="14" t="inlineStr">
        <is>
          <t>Micheal Masemola</t>
        </is>
      </c>
      <c r="B97" s="14" t="inlineStr">
        <is>
          <t>michealm@WearCheckRS.com</t>
        </is>
      </c>
      <c r="C97" s="14" t="inlineStr">
        <is>
          <t>Seporo Micheal Masemola</t>
        </is>
      </c>
      <c r="D97" s="14" t="inlineStr">
        <is>
          <t>michealm@wearcheckrs.com</t>
        </is>
      </c>
      <c r="E97" s="14" t="inlineStr">
        <is>
          <t>WC291</t>
        </is>
      </c>
      <c r="F97" s="14" t="inlineStr">
        <is>
          <t>RS</t>
        </is>
      </c>
      <c r="G97" s="14" t="inlineStr">
        <is>
          <t>Matched</t>
        </is>
      </c>
      <c r="H97" s="14" t="inlineStr">
        <is>
          <t>High</t>
        </is>
      </c>
      <c r="I97" s="14" t="inlineStr">
        <is>
          <t>No</t>
        </is>
      </c>
      <c r="J97" s="14" t="inlineStr">
        <is>
          <t>Active</t>
        </is>
      </c>
      <c r="K97" s="14" t="inlineStr">
        <is>
          <t>Exact company email match</t>
        </is>
      </c>
      <c r="L97" s="14" t="n">
        <v>2</v>
      </c>
      <c r="M97" s="14" t="inlineStr">
        <is>
          <t>Microsoft Defender for Office 365 (Plan 2)+Microsoft 365 Business Standard</t>
        </is>
      </c>
      <c r="N97" s="14" t="inlineStr"/>
    </row>
    <row r="98">
      <c r="A98" s="14" t="inlineStr">
        <is>
          <t>Micheal Pretorius</t>
        </is>
      </c>
      <c r="B98" s="14" t="inlineStr">
        <is>
          <t>micheal@WearCheckRS.com</t>
        </is>
      </c>
      <c r="C98" s="14" t="inlineStr">
        <is>
          <t>Micheal Francios Pretorius</t>
        </is>
      </c>
      <c r="D98" s="14" t="inlineStr">
        <is>
          <t>micheal@wearcheckrs.com</t>
        </is>
      </c>
      <c r="E98" s="14" t="inlineStr">
        <is>
          <t>WEC076</t>
        </is>
      </c>
      <c r="F98" s="14" t="inlineStr">
        <is>
          <t>RS</t>
        </is>
      </c>
      <c r="G98" s="14" t="inlineStr">
        <is>
          <t>Matched</t>
        </is>
      </c>
      <c r="H98" s="14" t="inlineStr">
        <is>
          <t>High</t>
        </is>
      </c>
      <c r="I98" s="14" t="inlineStr">
        <is>
          <t>No</t>
        </is>
      </c>
      <c r="J98" s="14" t="inlineStr">
        <is>
          <t>Active</t>
        </is>
      </c>
      <c r="K98" s="14" t="inlineStr">
        <is>
          <t>Exact company email match</t>
        </is>
      </c>
      <c r="L98" s="14" t="n">
        <v>3</v>
      </c>
      <c r="M98" s="14" t="inlineStr">
        <is>
          <t>Microsoft Defender for Office 365 (Plan 2)+Microsoft Power Automate Free+Microsoft 365 Business Standard</t>
        </is>
      </c>
      <c r="N98" s="14" t="inlineStr"/>
    </row>
    <row r="99">
      <c r="A99" s="14" t="inlineStr">
        <is>
          <t>Mike Shongwe</t>
        </is>
      </c>
      <c r="B99" s="14" t="inlineStr">
        <is>
          <t>MikeS@WearCheckRS.com</t>
        </is>
      </c>
      <c r="C99" s="14" t="inlineStr">
        <is>
          <t>Mike Mbongeni Shongwe</t>
        </is>
      </c>
      <c r="D99" s="14" t="inlineStr">
        <is>
          <t>mikes@weacheckrs.com</t>
        </is>
      </c>
      <c r="E99" s="14" t="inlineStr">
        <is>
          <t>WC483</t>
        </is>
      </c>
      <c r="F99" s="14" t="inlineStr">
        <is>
          <t>AFS</t>
        </is>
      </c>
      <c r="G99" s="14" t="inlineStr">
        <is>
          <t>Matched</t>
        </is>
      </c>
      <c r="H99" s="14" t="inlineStr">
        <is>
          <t>Medium</t>
        </is>
      </c>
      <c r="I99" s="14" t="inlineStr">
        <is>
          <t>No</t>
        </is>
      </c>
      <c r="J99" s="14" t="inlineStr">
        <is>
          <t>Active</t>
        </is>
      </c>
      <c r="K99" s="14" t="inlineStr">
        <is>
          <t>Matched via email alias/local-part</t>
        </is>
      </c>
      <c r="L99" s="14" t="n">
        <v>2</v>
      </c>
      <c r="M99" s="14" t="inlineStr">
        <is>
          <t>Microsoft Defender for Office 365 (Plan 2)+Microsoft 365 Business Standard</t>
        </is>
      </c>
      <c r="N99" s="14" t="inlineStr"/>
    </row>
    <row r="100">
      <c r="A100" s="14" t="inlineStr">
        <is>
          <t>Morne Alberts</t>
        </is>
      </c>
      <c r="B100" s="14" t="inlineStr">
        <is>
          <t>mornea@wearcheckrs.com</t>
        </is>
      </c>
      <c r="C100" s="14" t="inlineStr">
        <is>
          <t>Mórne Alberts</t>
        </is>
      </c>
      <c r="D100" s="14" t="inlineStr">
        <is>
          <t>mornea@wearcheckrs.com</t>
        </is>
      </c>
      <c r="E100" s="14" t="inlineStr">
        <is>
          <t>WC361</t>
        </is>
      </c>
      <c r="F100" s="14" t="inlineStr">
        <is>
          <t>RS</t>
        </is>
      </c>
      <c r="G100" s="14" t="inlineStr">
        <is>
          <t>Matched</t>
        </is>
      </c>
      <c r="H100" s="14" t="inlineStr">
        <is>
          <t>High</t>
        </is>
      </c>
      <c r="I100" s="14" t="inlineStr">
        <is>
          <t>No</t>
        </is>
      </c>
      <c r="J100" s="14" t="inlineStr">
        <is>
          <t>Active</t>
        </is>
      </c>
      <c r="K100" s="14" t="inlineStr">
        <is>
          <t>Exact company email match</t>
        </is>
      </c>
      <c r="L100" s="14" t="n">
        <v>3</v>
      </c>
      <c r="M100" s="14" t="inlineStr">
        <is>
          <t>Microsoft 365 Business Premium+Microsoft Defender for Office 365 (Plan 2)+Microsoft Fabric (Free)</t>
        </is>
      </c>
      <c r="N100" s="14" t="inlineStr"/>
    </row>
    <row r="101">
      <c r="A101" s="14" t="inlineStr">
        <is>
          <t>Muhamad Ikram Hanif</t>
        </is>
      </c>
      <c r="B101" s="14" t="inlineStr">
        <is>
          <t>Muhamad@WearCheckRS.com</t>
        </is>
      </c>
      <c r="C101" s="14" t="inlineStr">
        <is>
          <t>Muhamad Hanif</t>
        </is>
      </c>
      <c r="D101" s="14" t="inlineStr">
        <is>
          <t>Muhamad@wearcheckRS.com</t>
        </is>
      </c>
      <c r="E101" s="14" t="inlineStr">
        <is>
          <t>Unknown</t>
        </is>
      </c>
      <c r="F101" s="14" t="inlineStr">
        <is>
          <t>Mozambique</t>
        </is>
      </c>
      <c r="G101" s="14" t="inlineStr">
        <is>
          <t>Matched</t>
        </is>
      </c>
      <c r="H101" s="14" t="inlineStr">
        <is>
          <t>High</t>
        </is>
      </c>
      <c r="I101" s="14" t="inlineStr">
        <is>
          <t>No</t>
        </is>
      </c>
      <c r="J101" s="14" t="inlineStr">
        <is>
          <t>Active</t>
        </is>
      </c>
      <c r="K101" s="14" t="inlineStr">
        <is>
          <t>Exact company email match</t>
        </is>
      </c>
      <c r="L101" s="14" t="n">
        <v>3</v>
      </c>
      <c r="M101" s="14" t="inlineStr">
        <is>
          <t>Microsoft Defender for Office 365 (Plan 2)+Microsoft Fabric (Free)+Microsoft 365 Business Standard</t>
        </is>
      </c>
      <c r="N101" s="14" t="inlineStr"/>
    </row>
    <row r="102">
      <c r="A102" s="14" t="inlineStr">
        <is>
          <t>Nadhira Bux</t>
        </is>
      </c>
      <c r="B102" s="14" t="inlineStr">
        <is>
          <t>Nadhira@WearCheckRS.com</t>
        </is>
      </c>
      <c r="C102" s="14" t="inlineStr">
        <is>
          <t>Nadhira Bux</t>
        </is>
      </c>
      <c r="D102" s="14" t="inlineStr">
        <is>
          <t>nadhira@wearcheckrs.com</t>
        </is>
      </c>
      <c r="E102" s="14" t="inlineStr">
        <is>
          <t>WEC113</t>
        </is>
      </c>
      <c r="F102" s="14" t="inlineStr">
        <is>
          <t>RS</t>
        </is>
      </c>
      <c r="G102" s="14" t="inlineStr">
        <is>
          <t>Matched</t>
        </is>
      </c>
      <c r="H102" s="14" t="inlineStr">
        <is>
          <t>High</t>
        </is>
      </c>
      <c r="I102" s="14" t="inlineStr">
        <is>
          <t>No</t>
        </is>
      </c>
      <c r="J102" s="14" t="inlineStr">
        <is>
          <t>Active</t>
        </is>
      </c>
      <c r="K102" s="14" t="inlineStr">
        <is>
          <t>Exact company email match</t>
        </is>
      </c>
      <c r="L102" s="14" t="n">
        <v>7</v>
      </c>
      <c r="M102" s="14" t="inlineStr">
        <is>
          <t>Microsoft 365 Business Premium+Microsoft Defender for Office 365 (Plan 2)+Microsoft Power Apps for Developer+Power Pages vTrial for Makers+Microsoft Copilot Studio Viral Trial+Microsoft Power Automate Free+Microsoft Fabric (Free)</t>
        </is>
      </c>
      <c r="N102" s="14" t="inlineStr"/>
    </row>
    <row r="103">
      <c r="A103" s="14" t="inlineStr">
        <is>
          <t>Nico du Plessis</t>
        </is>
      </c>
      <c r="B103" s="14" t="inlineStr">
        <is>
          <t>Nico.duPlessis@WearCheckRS.com</t>
        </is>
      </c>
      <c r="C103" s="14" t="inlineStr">
        <is>
          <t>Nicolaas du Plessis</t>
        </is>
      </c>
      <c r="D103" s="14" t="inlineStr">
        <is>
          <t>nico.duplessis@wearcheckrs.com</t>
        </is>
      </c>
      <c r="E103" s="14" t="inlineStr">
        <is>
          <t>WC506</t>
        </is>
      </c>
      <c r="F103" s="14" t="inlineStr">
        <is>
          <t>AFS</t>
        </is>
      </c>
      <c r="G103" s="14" t="inlineStr">
        <is>
          <t>Matched</t>
        </is>
      </c>
      <c r="H103" s="14" t="inlineStr">
        <is>
          <t>High</t>
        </is>
      </c>
      <c r="I103" s="14" t="inlineStr">
        <is>
          <t>No</t>
        </is>
      </c>
      <c r="J103" s="14" t="inlineStr">
        <is>
          <t>Active</t>
        </is>
      </c>
      <c r="K103" s="14" t="inlineStr">
        <is>
          <t>Exact company email match</t>
        </is>
      </c>
      <c r="L103" s="14" t="n">
        <v>3</v>
      </c>
      <c r="M103" s="14" t="inlineStr">
        <is>
          <t>Microsoft Power Automate Free+Microsoft Defender for Office 365 (Plan 2)+Microsoft 365 Business Standard</t>
        </is>
      </c>
      <c r="N103" s="14" t="inlineStr"/>
    </row>
    <row r="104">
      <c r="A104" s="14" t="inlineStr">
        <is>
          <t>Nicolien Schutte</t>
        </is>
      </c>
      <c r="B104" s="14" t="inlineStr">
        <is>
          <t>Nicoliens@WearCheckRS.com</t>
        </is>
      </c>
      <c r="C104" s="14" t="inlineStr"/>
      <c r="D104" s="14" t="inlineStr"/>
      <c r="E104" s="14" t="inlineStr"/>
      <c r="F104" s="14" t="inlineStr">
        <is>
          <t>RS</t>
        </is>
      </c>
      <c r="G104" s="14" t="inlineStr">
        <is>
          <t>Contractor</t>
        </is>
      </c>
      <c r="H104" s="14" t="inlineStr">
        <is>
          <t>High</t>
        </is>
      </c>
      <c r="I104" s="14" t="inlineStr">
        <is>
          <t>No</t>
        </is>
      </c>
      <c r="J104" s="14" t="inlineStr">
        <is>
          <t>Contractor</t>
        </is>
      </c>
      <c r="K104" s="14" t="inlineStr">
        <is>
          <t>Not an employee — contractor. Licence allocated to RS.</t>
        </is>
      </c>
      <c r="L104" s="14" t="n">
        <v>5</v>
      </c>
      <c r="M104" s="14" t="inlineStr">
        <is>
          <t>Microsoft Defender for Office 365 (Plan 2)+Power BI Premium Per User+Microsoft 365 E3+Microsoft Fabric (Free)+Microsoft Power Automate Free</t>
        </is>
      </c>
      <c r="N104" s="14" t="inlineStr"/>
    </row>
    <row r="105">
      <c r="A105" s="14" t="inlineStr">
        <is>
          <t>no-reply-arc-oil@wearcheckrs.com</t>
        </is>
      </c>
      <c r="B105" s="14" t="inlineStr">
        <is>
          <t>no-reply-arc-oil@WearCheckRS.com</t>
        </is>
      </c>
      <c r="C105" s="14" t="n"/>
      <c r="D105" s="14" t="inlineStr"/>
      <c r="E105" s="14" t="n"/>
      <c r="F105" s="14" t="inlineStr">
        <is>
          <t>RS</t>
        </is>
      </c>
      <c r="G105" s="14" t="inlineStr">
        <is>
          <t>Mapped by rule</t>
        </is>
      </c>
      <c r="H105" s="14" t="inlineStr">
        <is>
          <t>High</t>
        </is>
      </c>
      <c r="I105" s="14" t="inlineStr">
        <is>
          <t>No</t>
        </is>
      </c>
      <c r="J105" s="14" t="inlineStr">
        <is>
          <t>Active</t>
        </is>
      </c>
      <c r="K105" s="14" t="inlineStr">
        <is>
          <t>Generic/shared/service account defaulted to RS per instruction</t>
        </is>
      </c>
      <c r="L105" s="14" t="n">
        <v>3</v>
      </c>
      <c r="M105" s="14" t="inlineStr">
        <is>
          <t>Microsoft Power Automate Free+Microsoft Defender for Office 365 (Plan 2)+Microsoft 365 Business Standard</t>
        </is>
      </c>
      <c r="N105" s="14" t="inlineStr"/>
    </row>
    <row r="106">
      <c r="A106" s="14" t="inlineStr">
        <is>
          <t>No Reply</t>
        </is>
      </c>
      <c r="B106" s="14" t="inlineStr">
        <is>
          <t>noreply@WearCheckRS.com</t>
        </is>
      </c>
      <c r="C106" s="14" t="n"/>
      <c r="D106" s="14" t="inlineStr"/>
      <c r="E106" s="14" t="n"/>
      <c r="F106" s="14" t="inlineStr">
        <is>
          <t>RS</t>
        </is>
      </c>
      <c r="G106" s="14" t="inlineStr">
        <is>
          <t>Mapped by rule</t>
        </is>
      </c>
      <c r="H106" s="14" t="inlineStr">
        <is>
          <t>High</t>
        </is>
      </c>
      <c r="I106" s="14" t="inlineStr">
        <is>
          <t>No</t>
        </is>
      </c>
      <c r="J106" s="14" t="inlineStr">
        <is>
          <t>Active</t>
        </is>
      </c>
      <c r="K106" s="14" t="inlineStr">
        <is>
          <t>Generic/shared/service account defaulted to RS per instruction</t>
        </is>
      </c>
      <c r="L106" s="14" t="n">
        <v>2</v>
      </c>
      <c r="M106" s="14" t="inlineStr">
        <is>
          <t>Microsoft Defender for Office 365 (Plan 2)+Microsoft 365 Business Standard</t>
        </is>
      </c>
      <c r="N106" s="14" t="inlineStr"/>
    </row>
    <row r="107">
      <c r="A107" s="14" t="inlineStr">
        <is>
          <t>Nomvula  Mkhize</t>
        </is>
      </c>
      <c r="B107" s="14" t="inlineStr">
        <is>
          <t>NomvulaM@WearCheckRS.com</t>
        </is>
      </c>
      <c r="C107" s="14" t="inlineStr">
        <is>
          <t>Nomvula Mkhize</t>
        </is>
      </c>
      <c r="D107" s="14" t="inlineStr">
        <is>
          <t>nomvulam@wearcheckrs.com</t>
        </is>
      </c>
      <c r="E107" s="14" t="inlineStr">
        <is>
          <t>WC651</t>
        </is>
      </c>
      <c r="F107" s="14" t="inlineStr">
        <is>
          <t>RS</t>
        </is>
      </c>
      <c r="G107" s="14" t="inlineStr">
        <is>
          <t>Matched</t>
        </is>
      </c>
      <c r="H107" s="14" t="inlineStr">
        <is>
          <t>High</t>
        </is>
      </c>
      <c r="I107" s="14" t="inlineStr">
        <is>
          <t>No</t>
        </is>
      </c>
      <c r="J107" s="14" t="inlineStr">
        <is>
          <t>Active</t>
        </is>
      </c>
      <c r="K107" s="14" t="inlineStr">
        <is>
          <t>Exact company email match</t>
        </is>
      </c>
      <c r="L107" s="14" t="n">
        <v>2</v>
      </c>
      <c r="M107" s="14" t="inlineStr">
        <is>
          <t>Microsoft Defender for Office 365 (Plan 2)+Microsoft 365 Business Standard</t>
        </is>
      </c>
      <c r="N107" s="14" t="inlineStr"/>
    </row>
    <row r="108">
      <c r="A108" s="14" t="inlineStr">
        <is>
          <t>Passwell Mashoeou</t>
        </is>
      </c>
      <c r="B108" s="14" t="inlineStr">
        <is>
          <t>passwell@WearCheckRS.com</t>
        </is>
      </c>
      <c r="C108" s="14" t="inlineStr">
        <is>
          <t>Putaneng Paswell Mashoeu</t>
        </is>
      </c>
      <c r="D108" s="14" t="inlineStr">
        <is>
          <t>passwell@wearcheckrs.com</t>
        </is>
      </c>
      <c r="E108" s="14" t="inlineStr">
        <is>
          <t>WC348</t>
        </is>
      </c>
      <c r="F108" s="14" t="inlineStr">
        <is>
          <t>RS</t>
        </is>
      </c>
      <c r="G108" s="14" t="inlineStr">
        <is>
          <t>Matched</t>
        </is>
      </c>
      <c r="H108" s="14" t="inlineStr">
        <is>
          <t>High</t>
        </is>
      </c>
      <c r="I108" s="14" t="inlineStr">
        <is>
          <t>No</t>
        </is>
      </c>
      <c r="J108" s="14" t="inlineStr">
        <is>
          <t>Active</t>
        </is>
      </c>
      <c r="K108" s="14" t="inlineStr">
        <is>
          <t>Exact company email match</t>
        </is>
      </c>
      <c r="L108" s="14" t="n">
        <v>2</v>
      </c>
      <c r="M108" s="14" t="inlineStr">
        <is>
          <t>Microsoft Defender for Office 365 (Plan 2)+Microsoft 365 Business Standard</t>
        </is>
      </c>
      <c r="N108" s="14" t="inlineStr"/>
    </row>
    <row r="109">
      <c r="A109" s="14" t="inlineStr">
        <is>
          <t>Patrick Nel</t>
        </is>
      </c>
      <c r="B109" s="14" t="inlineStr">
        <is>
          <t>Patrick@WearCheckRS.com</t>
        </is>
      </c>
      <c r="C109" s="14" t="inlineStr">
        <is>
          <t>Patrick Nel</t>
        </is>
      </c>
      <c r="D109" s="14" t="inlineStr">
        <is>
          <t>patrick@wearcheckrs.com</t>
        </is>
      </c>
      <c r="E109" s="14" t="inlineStr">
        <is>
          <t>WC498</t>
        </is>
      </c>
      <c r="F109" s="14" t="inlineStr">
        <is>
          <t>AFS</t>
        </is>
      </c>
      <c r="G109" s="14" t="inlineStr">
        <is>
          <t>Matched</t>
        </is>
      </c>
      <c r="H109" s="14" t="inlineStr">
        <is>
          <t>High</t>
        </is>
      </c>
      <c r="I109" s="14" t="inlineStr">
        <is>
          <t>No</t>
        </is>
      </c>
      <c r="J109" s="14" t="inlineStr">
        <is>
          <t>Active</t>
        </is>
      </c>
      <c r="K109" s="14" t="inlineStr">
        <is>
          <t>Exact company email match</t>
        </is>
      </c>
      <c r="L109" s="14" t="n">
        <v>1</v>
      </c>
      <c r="M109" s="14" t="inlineStr">
        <is>
          <t>Microsoft 365 Business Standard</t>
        </is>
      </c>
      <c r="N109" s="14" t="inlineStr"/>
    </row>
    <row r="110">
      <c r="A110" s="14" t="inlineStr">
        <is>
          <t>Peet Peacock</t>
        </is>
      </c>
      <c r="B110" s="14" t="inlineStr">
        <is>
          <t>Peet@WearCheckRS.com</t>
        </is>
      </c>
      <c r="C110" s="14" t="inlineStr">
        <is>
          <t>Petrus Johannes Peacock</t>
        </is>
      </c>
      <c r="D110" s="14" t="inlineStr">
        <is>
          <t>Peet@wearcheckrs.com</t>
        </is>
      </c>
      <c r="E110" s="14" t="inlineStr">
        <is>
          <t>WC520</t>
        </is>
      </c>
      <c r="F110" s="14" t="inlineStr">
        <is>
          <t>RS</t>
        </is>
      </c>
      <c r="G110" s="14" t="inlineStr">
        <is>
          <t>Matched</t>
        </is>
      </c>
      <c r="H110" s="14" t="inlineStr">
        <is>
          <t>High</t>
        </is>
      </c>
      <c r="I110" s="14" t="inlineStr">
        <is>
          <t>No</t>
        </is>
      </c>
      <c r="J110" s="14" t="inlineStr">
        <is>
          <t>Active</t>
        </is>
      </c>
      <c r="K110" s="14" t="inlineStr">
        <is>
          <t>Exact company email match</t>
        </is>
      </c>
      <c r="L110" s="14" t="n">
        <v>2</v>
      </c>
      <c r="M110" s="14" t="inlineStr">
        <is>
          <t>Microsoft Defender for Office 365 (Plan 2)+Microsoft 365 E3</t>
        </is>
      </c>
      <c r="N110" s="14" t="inlineStr"/>
    </row>
    <row r="111">
      <c r="A111" s="14" t="inlineStr">
        <is>
          <t>Percy Hall</t>
        </is>
      </c>
      <c r="B111" s="14" t="inlineStr">
        <is>
          <t>Percy@WearCheckRS.com</t>
        </is>
      </c>
      <c r="C111" s="14" t="inlineStr">
        <is>
          <t>Percy Hall</t>
        </is>
      </c>
      <c r="D111" s="14" t="inlineStr">
        <is>
          <t>percy@wearcheckrs.com</t>
        </is>
      </c>
      <c r="E111" s="14" t="inlineStr">
        <is>
          <t>WEC115</t>
        </is>
      </c>
      <c r="F111" s="14" t="inlineStr">
        <is>
          <t>RS</t>
        </is>
      </c>
      <c r="G111" s="14" t="inlineStr">
        <is>
          <t>Matched</t>
        </is>
      </c>
      <c r="H111" s="14" t="inlineStr">
        <is>
          <t>High</t>
        </is>
      </c>
      <c r="I111" s="14" t="inlineStr">
        <is>
          <t>No</t>
        </is>
      </c>
      <c r="J111" s="14" t="inlineStr">
        <is>
          <t>Active</t>
        </is>
      </c>
      <c r="K111" s="14" t="inlineStr">
        <is>
          <t>Exact company email match</t>
        </is>
      </c>
      <c r="L111" s="14" t="n">
        <v>2</v>
      </c>
      <c r="M111" s="14" t="inlineStr">
        <is>
          <t>Microsoft Defender for Office 365 (Plan 2)+Microsoft 365 Business Standard</t>
        </is>
      </c>
      <c r="N111" s="14" t="inlineStr"/>
    </row>
    <row r="112">
      <c r="A112" s="14" t="inlineStr">
        <is>
          <t>Permission Melele</t>
        </is>
      </c>
      <c r="B112" s="14" t="inlineStr">
        <is>
          <t>permission@WearCheckRS.com</t>
        </is>
      </c>
      <c r="C112" s="14" t="inlineStr">
        <is>
          <t>Katishi Permission Malele</t>
        </is>
      </c>
      <c r="D112" s="14" t="inlineStr">
        <is>
          <t>permission@wearcheckrs.com</t>
        </is>
      </c>
      <c r="E112" s="14" t="inlineStr">
        <is>
          <t>WC393</t>
        </is>
      </c>
      <c r="F112" s="14" t="inlineStr">
        <is>
          <t>RS</t>
        </is>
      </c>
      <c r="G112" s="14" t="inlineStr">
        <is>
          <t>Matched</t>
        </is>
      </c>
      <c r="H112" s="14" t="inlineStr">
        <is>
          <t>High</t>
        </is>
      </c>
      <c r="I112" s="14" t="inlineStr">
        <is>
          <t>No</t>
        </is>
      </c>
      <c r="J112" s="14" t="inlineStr">
        <is>
          <t>Active</t>
        </is>
      </c>
      <c r="K112" s="14" t="inlineStr">
        <is>
          <t>Exact company email match</t>
        </is>
      </c>
      <c r="L112" s="14" t="n">
        <v>2</v>
      </c>
      <c r="M112" s="14" t="inlineStr">
        <is>
          <t>Microsoft Defender for Office 365 (Plan 2)+Microsoft 365 Business Standard</t>
        </is>
      </c>
      <c r="N112" s="14" t="inlineStr"/>
    </row>
    <row r="113">
      <c r="A113" s="15" t="inlineStr">
        <is>
          <t>Peter</t>
        </is>
      </c>
      <c r="B113" s="15" t="inlineStr">
        <is>
          <t>Peter@WearCheckRS.com</t>
        </is>
      </c>
      <c r="C113" s="15" t="inlineStr"/>
      <c r="D113" s="15" t="inlineStr"/>
      <c r="E113" s="15" t="inlineStr"/>
      <c r="F113" s="15" t="inlineStr">
        <is>
          <t>RS</t>
        </is>
      </c>
      <c r="G113" s="15" t="inlineStr">
        <is>
          <t>Ex-Employee</t>
        </is>
      </c>
      <c r="H113" s="15" t="inlineStr">
        <is>
          <t>High</t>
        </is>
      </c>
      <c r="I113" s="15" t="inlineStr">
        <is>
          <t>No</t>
        </is>
      </c>
      <c r="J113" s="15" t="inlineStr">
        <is>
          <t>Ex-Employee</t>
        </is>
      </c>
      <c r="K113" s="15" t="inlineStr">
        <is>
          <t>No longer an employee. FLAG: Remove licence.</t>
        </is>
      </c>
      <c r="L113" s="15" t="n">
        <v>1</v>
      </c>
      <c r="M113" s="15" t="inlineStr">
        <is>
          <t>Microsoft 365 Business Standard</t>
        </is>
      </c>
      <c r="N113" s="15" t="inlineStr"/>
    </row>
    <row r="114">
      <c r="A114" s="16" t="inlineStr">
        <is>
          <t>Philip Schutte</t>
        </is>
      </c>
      <c r="B114" s="16" t="inlineStr">
        <is>
          <t>philip@WearCheckRS.com</t>
        </is>
      </c>
      <c r="C114" s="16" t="inlineStr">
        <is>
          <t>Philippus Jacobus Wilhelmus (Philip) Schutte</t>
        </is>
      </c>
      <c r="D114" s="16" t="inlineStr">
        <is>
          <t>philip@wearcheckrs.com</t>
        </is>
      </c>
      <c r="E114" s="16" t="inlineStr">
        <is>
          <t>WC253</t>
        </is>
      </c>
      <c r="F114" s="16" t="inlineStr">
        <is>
          <t>RS</t>
        </is>
      </c>
      <c r="G114" s="16" t="inlineStr">
        <is>
          <t>Matched</t>
        </is>
      </c>
      <c r="H114" s="16" t="inlineStr">
        <is>
          <t>High</t>
        </is>
      </c>
      <c r="I114" s="16" t="inlineStr">
        <is>
          <t>No</t>
        </is>
      </c>
      <c r="J114" s="16" t="inlineStr">
        <is>
          <t>Active</t>
        </is>
      </c>
      <c r="K114" s="16" t="inlineStr">
        <is>
          <t>Exact company email match</t>
        </is>
      </c>
      <c r="L114" s="16" t="n">
        <v>4</v>
      </c>
      <c r="M114" s="16" t="inlineStr">
        <is>
          <t>Microsoft Defender for Office 365 (Plan 2)+Microsoft Fabric (Free)+Microsoft 365 E3+Microsoft Power Automate Free</t>
        </is>
      </c>
      <c r="N114" s="16" t="inlineStr">
        <is>
          <t>Duplicate: 2 accounts (philip@WearCheckRS.com, Philip_Zoho@WearCheckRS.com)</t>
        </is>
      </c>
    </row>
    <row r="115">
      <c r="A115" s="16" t="inlineStr">
        <is>
          <t>Philip Zoho</t>
        </is>
      </c>
      <c r="B115" s="16" t="inlineStr">
        <is>
          <t>Philip_Zoho@WearCheckRS.com</t>
        </is>
      </c>
      <c r="C115" s="16" t="inlineStr">
        <is>
          <t>Philippus Jacobus Wilhelmus (Philip) Schutte</t>
        </is>
      </c>
      <c r="D115" s="16" t="inlineStr">
        <is>
          <t>philip@wearcheckrs.com</t>
        </is>
      </c>
      <c r="E115" s="16" t="inlineStr">
        <is>
          <t>WC253</t>
        </is>
      </c>
      <c r="F115" s="16" t="inlineStr">
        <is>
          <t>RS</t>
        </is>
      </c>
      <c r="G115" s="16" t="inlineStr">
        <is>
          <t>Matched</t>
        </is>
      </c>
      <c r="H115" s="16" t="inlineStr">
        <is>
          <t>Medium</t>
        </is>
      </c>
      <c r="I115" s="16" t="inlineStr">
        <is>
          <t>No</t>
        </is>
      </c>
      <c r="J115" s="16" t="inlineStr">
        <is>
          <t>Active</t>
        </is>
      </c>
      <c r="K115" s="16" t="inlineStr">
        <is>
          <t>Matched via email alias/local-part</t>
        </is>
      </c>
      <c r="L115" s="16" t="n">
        <v>1</v>
      </c>
      <c r="M115" s="16" t="inlineStr">
        <is>
          <t>Microsoft 365 Business Standard</t>
        </is>
      </c>
      <c r="N115" s="16" t="inlineStr">
        <is>
          <t>Duplicate: 2 accounts (philip@WearCheckRS.com, Philip_Zoho@WearCheckRS.com)</t>
        </is>
      </c>
    </row>
    <row r="116">
      <c r="A116" s="14" t="inlineStr">
        <is>
          <t>Placido Maculuve</t>
        </is>
      </c>
      <c r="B116" s="14" t="inlineStr">
        <is>
          <t>Placido@WearCheckRS.com</t>
        </is>
      </c>
      <c r="C116" s="14" t="inlineStr">
        <is>
          <t>Placido  Maculuve</t>
        </is>
      </c>
      <c r="D116" s="14" t="inlineStr">
        <is>
          <t>Placido@wearcheckrs.com</t>
        </is>
      </c>
      <c r="E116" s="14" t="inlineStr">
        <is>
          <t>Unknown</t>
        </is>
      </c>
      <c r="F116" s="14" t="inlineStr">
        <is>
          <t>Mozambique</t>
        </is>
      </c>
      <c r="G116" s="14" t="inlineStr">
        <is>
          <t>Matched</t>
        </is>
      </c>
      <c r="H116" s="14" t="inlineStr">
        <is>
          <t>High</t>
        </is>
      </c>
      <c r="I116" s="14" t="inlineStr">
        <is>
          <t>No</t>
        </is>
      </c>
      <c r="J116" s="14" t="inlineStr">
        <is>
          <t>Active</t>
        </is>
      </c>
      <c r="K116" s="14" t="inlineStr">
        <is>
          <t>Exact company email match</t>
        </is>
      </c>
      <c r="L116" s="14" t="n">
        <v>3</v>
      </c>
      <c r="M116" s="14" t="inlineStr">
        <is>
          <t>Microsoft Defender for Office 365 (Plan 2)+Microsoft Fabric (Free)+Microsoft 365 Business Standard</t>
        </is>
      </c>
      <c r="N116" s="14" t="inlineStr"/>
    </row>
    <row r="117">
      <c r="A117" s="14" t="inlineStr">
        <is>
          <t>Power Bi Gateway Service Account</t>
        </is>
      </c>
      <c r="B117" s="14" t="inlineStr">
        <is>
          <t>srv_acc_pbi_gw@WearCheckRS.com</t>
        </is>
      </c>
      <c r="C117" s="14" t="n"/>
      <c r="D117" s="14" t="inlineStr"/>
      <c r="E117" s="14" t="n"/>
      <c r="F117" s="14" t="inlineStr">
        <is>
          <t>RS</t>
        </is>
      </c>
      <c r="G117" s="14" t="inlineStr">
        <is>
          <t>Mapped by rule</t>
        </is>
      </c>
      <c r="H117" s="14" t="inlineStr">
        <is>
          <t>High</t>
        </is>
      </c>
      <c r="I117" s="14" t="inlineStr">
        <is>
          <t>No</t>
        </is>
      </c>
      <c r="J117" s="14" t="inlineStr">
        <is>
          <t>Active</t>
        </is>
      </c>
      <c r="K117" s="14" t="inlineStr">
        <is>
          <t>Generic/shared/service account defaulted to RS per instruction</t>
        </is>
      </c>
      <c r="L117" s="14" t="n">
        <v>3</v>
      </c>
      <c r="M117" s="14" t="inlineStr">
        <is>
          <t>Microsoft Power Automate Free+Power BI Premium Per User+Exchange Online (Plan 1)</t>
        </is>
      </c>
      <c r="N117" s="14" t="inlineStr"/>
    </row>
    <row r="118">
      <c r="A118" s="14" t="inlineStr">
        <is>
          <t>Printer  Account</t>
        </is>
      </c>
      <c r="B118" s="14" t="inlineStr">
        <is>
          <t>printer@WearCheckRS.com</t>
        </is>
      </c>
      <c r="C118" s="14" t="n"/>
      <c r="D118" s="14" t="inlineStr"/>
      <c r="E118" s="14" t="n"/>
      <c r="F118" s="14" t="inlineStr">
        <is>
          <t>RS</t>
        </is>
      </c>
      <c r="G118" s="14" t="inlineStr">
        <is>
          <t>Mapped by rule</t>
        </is>
      </c>
      <c r="H118" s="14" t="inlineStr">
        <is>
          <t>High</t>
        </is>
      </c>
      <c r="I118" s="14" t="inlineStr">
        <is>
          <t>No</t>
        </is>
      </c>
      <c r="J118" s="14" t="inlineStr">
        <is>
          <t>Active</t>
        </is>
      </c>
      <c r="K118" s="14" t="inlineStr">
        <is>
          <t>Generic/shared/service account defaulted to RS per instruction</t>
        </is>
      </c>
      <c r="L118" s="14" t="n">
        <v>1</v>
      </c>
      <c r="M118" s="14" t="inlineStr">
        <is>
          <t>Exchange Online (Plan 1)</t>
        </is>
      </c>
      <c r="N118" s="14" t="inlineStr"/>
    </row>
    <row r="119">
      <c r="A119" s="14" t="inlineStr">
        <is>
          <t>Rakcal Balaram</t>
        </is>
      </c>
      <c r="B119" s="14" t="inlineStr">
        <is>
          <t>rakcal@WearCheckRS.com</t>
        </is>
      </c>
      <c r="C119" s="14" t="inlineStr">
        <is>
          <t>Rakcal Monroe  Balaram</t>
        </is>
      </c>
      <c r="D119" s="14" t="inlineStr">
        <is>
          <t>rakcal@wearcheckrs.com</t>
        </is>
      </c>
      <c r="E119" s="14" t="inlineStr">
        <is>
          <t>WEC074</t>
        </is>
      </c>
      <c r="F119" s="14" t="inlineStr">
        <is>
          <t>RS</t>
        </is>
      </c>
      <c r="G119" s="14" t="inlineStr">
        <is>
          <t>Matched</t>
        </is>
      </c>
      <c r="H119" s="14" t="inlineStr">
        <is>
          <t>High</t>
        </is>
      </c>
      <c r="I119" s="14" t="inlineStr">
        <is>
          <t>No</t>
        </is>
      </c>
      <c r="J119" s="14" t="inlineStr">
        <is>
          <t>Active</t>
        </is>
      </c>
      <c r="K119" s="14" t="inlineStr">
        <is>
          <t>Exact company email match</t>
        </is>
      </c>
      <c r="L119" s="14" t="n">
        <v>2</v>
      </c>
      <c r="M119" s="14" t="inlineStr">
        <is>
          <t>Microsoft Defender for Office 365 (Plan 2)+Microsoft 365 Business Standard</t>
        </is>
      </c>
      <c r="N119" s="14" t="inlineStr"/>
    </row>
    <row r="120">
      <c r="A120" s="14" t="inlineStr">
        <is>
          <t>Reinier Kalp</t>
        </is>
      </c>
      <c r="B120" s="14" t="inlineStr">
        <is>
          <t>reinierk@wearcheckrs.com</t>
        </is>
      </c>
      <c r="C120" s="14" t="inlineStr">
        <is>
          <t>Reinier Kalp</t>
        </is>
      </c>
      <c r="D120" s="14" t="inlineStr">
        <is>
          <t>reinierk@wearcheckrs.com</t>
        </is>
      </c>
      <c r="E120" s="14" t="inlineStr">
        <is>
          <t>WC382</t>
        </is>
      </c>
      <c r="F120" s="14" t="inlineStr">
        <is>
          <t>RS</t>
        </is>
      </c>
      <c r="G120" s="14" t="inlineStr">
        <is>
          <t>Matched</t>
        </is>
      </c>
      <c r="H120" s="14" t="inlineStr">
        <is>
          <t>High</t>
        </is>
      </c>
      <c r="I120" s="14" t="inlineStr">
        <is>
          <t>No</t>
        </is>
      </c>
      <c r="J120" s="14" t="inlineStr">
        <is>
          <t>Active</t>
        </is>
      </c>
      <c r="K120" s="14" t="inlineStr">
        <is>
          <t>Exact company email match</t>
        </is>
      </c>
      <c r="L120" s="14" t="n">
        <v>4</v>
      </c>
      <c r="M120" s="14" t="inlineStr">
        <is>
          <t>Microsoft 365 Business Premium+Microsoft Defender for Office 365 (Plan 2)+Microsoft Power Automate Free+Microsoft Fabric (Free)</t>
        </is>
      </c>
      <c r="N120" s="14" t="inlineStr"/>
    </row>
    <row r="121">
      <c r="A121" s="14" t="inlineStr">
        <is>
          <t>Remote Analysis Centre Admin</t>
        </is>
      </c>
      <c r="B121" s="14" t="inlineStr">
        <is>
          <t>rac.admin@WearCheckRS.com</t>
        </is>
      </c>
      <c r="C121" s="14" t="n"/>
      <c r="D121" s="14" t="inlineStr"/>
      <c r="E121" s="14" t="n"/>
      <c r="F121" s="14" t="inlineStr">
        <is>
          <t>RS</t>
        </is>
      </c>
      <c r="G121" s="14" t="inlineStr">
        <is>
          <t>Mapped by rule</t>
        </is>
      </c>
      <c r="H121" s="14" t="inlineStr">
        <is>
          <t>High</t>
        </is>
      </c>
      <c r="I121" s="14" t="inlineStr">
        <is>
          <t>No</t>
        </is>
      </c>
      <c r="J121" s="14" t="inlineStr">
        <is>
          <t>Active</t>
        </is>
      </c>
      <c r="K121" s="14" t="inlineStr">
        <is>
          <t>Generic/shared/service account defaulted to RS per instruction</t>
        </is>
      </c>
      <c r="L121" s="14" t="n">
        <v>2</v>
      </c>
      <c r="M121" s="14" t="inlineStr">
        <is>
          <t>Microsoft Defender for Office 365 (Plan 2)+Microsoft 365 E3</t>
        </is>
      </c>
      <c r="N121" s="14" t="inlineStr"/>
    </row>
    <row r="122">
      <c r="A122" s="14" t="inlineStr">
        <is>
          <t>Riaan De Beer</t>
        </is>
      </c>
      <c r="B122" s="14" t="inlineStr">
        <is>
          <t>RiaandB@WearCheckRS.com</t>
        </is>
      </c>
      <c r="C122" s="14" t="inlineStr">
        <is>
          <t>Riaan de Beer</t>
        </is>
      </c>
      <c r="D122" s="14" t="inlineStr">
        <is>
          <t>riaandb@wearcheckrs.com</t>
        </is>
      </c>
      <c r="E122" s="14" t="inlineStr">
        <is>
          <t>WC363</t>
        </is>
      </c>
      <c r="F122" s="14" t="inlineStr">
        <is>
          <t>RS</t>
        </is>
      </c>
      <c r="G122" s="14" t="inlineStr">
        <is>
          <t>Matched</t>
        </is>
      </c>
      <c r="H122" s="14" t="inlineStr">
        <is>
          <t>High</t>
        </is>
      </c>
      <c r="I122" s="14" t="inlineStr">
        <is>
          <t>No</t>
        </is>
      </c>
      <c r="J122" s="14" t="inlineStr">
        <is>
          <t>Active</t>
        </is>
      </c>
      <c r="K122" s="14" t="inlineStr">
        <is>
          <t>Exact company email match</t>
        </is>
      </c>
      <c r="L122" s="14" t="n">
        <v>4</v>
      </c>
      <c r="M122" s="14" t="inlineStr">
        <is>
          <t>Microsoft Defender for Office 365 (Plan 2)+Microsoft Fabric (Free)+Microsoft 365 Business Standard+Microsoft Power Automate Free</t>
        </is>
      </c>
      <c r="N122" s="14" t="inlineStr"/>
    </row>
    <row r="123">
      <c r="A123" s="14" t="inlineStr">
        <is>
          <t>Riaan Du Plooy</t>
        </is>
      </c>
      <c r="B123" s="14" t="inlineStr">
        <is>
          <t>RiaanDP@WearCheckRS.com</t>
        </is>
      </c>
      <c r="C123" s="14" t="inlineStr">
        <is>
          <t>Adriaan Johannes du Plooy</t>
        </is>
      </c>
      <c r="D123" s="14" t="inlineStr">
        <is>
          <t>Riaandp@wearcheckRS.com</t>
        </is>
      </c>
      <c r="E123" s="14" t="inlineStr">
        <is>
          <t>WC591</t>
        </is>
      </c>
      <c r="F123" s="14" t="inlineStr">
        <is>
          <t>Mozambique</t>
        </is>
      </c>
      <c r="G123" s="14" t="inlineStr">
        <is>
          <t>Matched</t>
        </is>
      </c>
      <c r="H123" s="14" t="inlineStr">
        <is>
          <t>High</t>
        </is>
      </c>
      <c r="I123" s="14" t="inlineStr">
        <is>
          <t>No</t>
        </is>
      </c>
      <c r="J123" s="14" t="inlineStr">
        <is>
          <t>Active</t>
        </is>
      </c>
      <c r="K123" s="14" t="inlineStr">
        <is>
          <t>Exact company email match</t>
        </is>
      </c>
      <c r="L123" s="14" t="n">
        <v>2</v>
      </c>
      <c r="M123" s="14" t="inlineStr">
        <is>
          <t>Microsoft 365 Business Premium+Microsoft Defender for Office 365 (Plan 2)</t>
        </is>
      </c>
      <c r="N123" s="14" t="inlineStr"/>
    </row>
    <row r="124">
      <c r="A124" s="14" t="inlineStr">
        <is>
          <t>Roger Henwood</t>
        </is>
      </c>
      <c r="B124" s="14" t="inlineStr">
        <is>
          <t>RogerH@WearCheckRS.com</t>
        </is>
      </c>
      <c r="C124" s="14" t="inlineStr">
        <is>
          <t>Roger Henwood</t>
        </is>
      </c>
      <c r="D124" s="14" t="inlineStr">
        <is>
          <t>rogerh@wearcheckrs.com</t>
        </is>
      </c>
      <c r="E124" s="14" t="inlineStr">
        <is>
          <t>WC504</t>
        </is>
      </c>
      <c r="F124" s="14" t="inlineStr">
        <is>
          <t>AFS</t>
        </is>
      </c>
      <c r="G124" s="14" t="inlineStr">
        <is>
          <t>Matched</t>
        </is>
      </c>
      <c r="H124" s="14" t="inlineStr">
        <is>
          <t>High</t>
        </is>
      </c>
      <c r="I124" s="14" t="inlineStr">
        <is>
          <t>No</t>
        </is>
      </c>
      <c r="J124" s="14" t="inlineStr">
        <is>
          <t>Active</t>
        </is>
      </c>
      <c r="K124" s="14" t="inlineStr">
        <is>
          <t>Exact company email match</t>
        </is>
      </c>
      <c r="L124" s="14" t="n">
        <v>3</v>
      </c>
      <c r="M124" s="14" t="inlineStr">
        <is>
          <t>Microsoft Defender for Office 365 (Plan 2)+Microsoft Power Automate Free+Microsoft 365 Business Standard</t>
        </is>
      </c>
      <c r="N124" s="14" t="inlineStr"/>
    </row>
    <row r="125">
      <c r="A125" s="14" t="inlineStr">
        <is>
          <t>Rohan Willer</t>
        </is>
      </c>
      <c r="B125" s="14" t="inlineStr">
        <is>
          <t>rohan@WearCheckRS.com</t>
        </is>
      </c>
      <c r="C125" s="14" t="inlineStr">
        <is>
          <t>Hermanus Johannes Willer</t>
        </is>
      </c>
      <c r="D125" s="14" t="inlineStr">
        <is>
          <t>rohan@wearcheckrs.com</t>
        </is>
      </c>
      <c r="E125" s="14" t="inlineStr">
        <is>
          <t>WC381</t>
        </is>
      </c>
      <c r="F125" s="14" t="inlineStr">
        <is>
          <t>Namibia</t>
        </is>
      </c>
      <c r="G125" s="14" t="inlineStr">
        <is>
          <t>Matched</t>
        </is>
      </c>
      <c r="H125" s="14" t="inlineStr">
        <is>
          <t>High</t>
        </is>
      </c>
      <c r="I125" s="14" t="inlineStr">
        <is>
          <t>No</t>
        </is>
      </c>
      <c r="J125" s="14" t="inlineStr">
        <is>
          <t>Active</t>
        </is>
      </c>
      <c r="K125" s="14" t="inlineStr">
        <is>
          <t>Exact company email match</t>
        </is>
      </c>
      <c r="L125" s="14" t="n">
        <v>3</v>
      </c>
      <c r="M125" s="14" t="inlineStr">
        <is>
          <t>Microsoft 365 Business Premium+Microsoft Defender for Office 365 (Plan 2)+Microsoft Power Automate Free</t>
        </is>
      </c>
      <c r="N125" s="14" t="inlineStr"/>
    </row>
    <row r="126">
      <c r="A126" s="14" t="inlineStr">
        <is>
          <t>Rynhardt Meyer</t>
        </is>
      </c>
      <c r="B126" s="14" t="inlineStr">
        <is>
          <t>Rynhardt@WearCheckRS.com</t>
        </is>
      </c>
      <c r="C126" s="14" t="inlineStr">
        <is>
          <t>Rynhardt Meyer</t>
        </is>
      </c>
      <c r="D126" s="14" t="inlineStr">
        <is>
          <t>rynhardt@wearcheckrs.com</t>
        </is>
      </c>
      <c r="E126" s="14" t="inlineStr">
        <is>
          <t>WEC096</t>
        </is>
      </c>
      <c r="F126" s="14" t="inlineStr">
        <is>
          <t>RS</t>
        </is>
      </c>
      <c r="G126" s="14" t="inlineStr">
        <is>
          <t>Matched</t>
        </is>
      </c>
      <c r="H126" s="14" t="inlineStr">
        <is>
          <t>High</t>
        </is>
      </c>
      <c r="I126" s="14" t="inlineStr">
        <is>
          <t>No</t>
        </is>
      </c>
      <c r="J126" s="14" t="inlineStr">
        <is>
          <t>Active</t>
        </is>
      </c>
      <c r="K126" s="14" t="inlineStr">
        <is>
          <t>Exact company email match</t>
        </is>
      </c>
      <c r="L126" s="14" t="n">
        <v>2</v>
      </c>
      <c r="M126" s="14" t="inlineStr">
        <is>
          <t>Microsoft Defender for Office 365 (Plan 2)+Microsoft 365 Business Standard</t>
        </is>
      </c>
      <c r="N126" s="14" t="inlineStr"/>
    </row>
    <row r="127">
      <c r="A127" s="14" t="inlineStr">
        <is>
          <t>Rynhardt Smit</t>
        </is>
      </c>
      <c r="B127" s="14" t="inlineStr">
        <is>
          <t>Rynhardt.Smit@WearCheckRS.com</t>
        </is>
      </c>
      <c r="C127" s="14" t="inlineStr">
        <is>
          <t>Rynhardt Smit</t>
        </is>
      </c>
      <c r="D127" s="14" t="inlineStr">
        <is>
          <t>rynhardt.smit@wearcheckrs.com</t>
        </is>
      </c>
      <c r="E127" s="14" t="inlineStr">
        <is>
          <t>WC501</t>
        </is>
      </c>
      <c r="F127" s="14" t="inlineStr">
        <is>
          <t>AFS</t>
        </is>
      </c>
      <c r="G127" s="14" t="inlineStr">
        <is>
          <t>Matched</t>
        </is>
      </c>
      <c r="H127" s="14" t="inlineStr">
        <is>
          <t>High</t>
        </is>
      </c>
      <c r="I127" s="14" t="inlineStr">
        <is>
          <t>No</t>
        </is>
      </c>
      <c r="J127" s="14" t="inlineStr">
        <is>
          <t>Active</t>
        </is>
      </c>
      <c r="K127" s="14" t="inlineStr">
        <is>
          <t>Exact company email match</t>
        </is>
      </c>
      <c r="L127" s="14" t="n">
        <v>2</v>
      </c>
      <c r="M127" s="14" t="inlineStr">
        <is>
          <t>Microsoft Defender for Office 365 (Plan 2)+Microsoft 365 Business Standard</t>
        </is>
      </c>
      <c r="N127" s="14" t="inlineStr"/>
    </row>
    <row r="128">
      <c r="A128" s="14" t="inlineStr">
        <is>
          <t>Sergent Thlou</t>
        </is>
      </c>
      <c r="B128" s="14" t="inlineStr">
        <is>
          <t>sergent@WearCheckRS.com</t>
        </is>
      </c>
      <c r="C128" s="14" t="inlineStr">
        <is>
          <t>Sergant Sakhile Tlou</t>
        </is>
      </c>
      <c r="D128" s="14" t="inlineStr">
        <is>
          <t>sergent@wearcheckrs.com</t>
        </is>
      </c>
      <c r="E128" s="14" t="inlineStr">
        <is>
          <t>WC264</t>
        </is>
      </c>
      <c r="F128" s="14" t="inlineStr">
        <is>
          <t>RS</t>
        </is>
      </c>
      <c r="G128" s="14" t="inlineStr">
        <is>
          <t>Matched</t>
        </is>
      </c>
      <c r="H128" s="14" t="inlineStr">
        <is>
          <t>High</t>
        </is>
      </c>
      <c r="I128" s="14" t="inlineStr">
        <is>
          <t>No</t>
        </is>
      </c>
      <c r="J128" s="14" t="inlineStr">
        <is>
          <t>Active</t>
        </is>
      </c>
      <c r="K128" s="14" t="inlineStr">
        <is>
          <t>Exact company email match</t>
        </is>
      </c>
      <c r="L128" s="14" t="n">
        <v>2</v>
      </c>
      <c r="M128" s="14" t="inlineStr">
        <is>
          <t>Microsoft Defender for Office 365 (Plan 2)+Microsoft 365 Business Standard</t>
        </is>
      </c>
      <c r="N128" s="14" t="inlineStr"/>
    </row>
    <row r="129">
      <c r="A129" s="14" t="inlineStr">
        <is>
          <t>Service Account SQL DB Mail</t>
        </is>
      </c>
      <c r="B129" s="14" t="inlineStr">
        <is>
          <t>srv_acc_sql_mail@WearCheckRS.com</t>
        </is>
      </c>
      <c r="C129" s="14" t="n"/>
      <c r="D129" s="14" t="inlineStr"/>
      <c r="E129" s="14" t="n"/>
      <c r="F129" s="14" t="inlineStr">
        <is>
          <t>RS</t>
        </is>
      </c>
      <c r="G129" s="14" t="inlineStr">
        <is>
          <t>Mapped by rule</t>
        </is>
      </c>
      <c r="H129" s="14" t="inlineStr">
        <is>
          <t>High</t>
        </is>
      </c>
      <c r="I129" s="14" t="inlineStr">
        <is>
          <t>No</t>
        </is>
      </c>
      <c r="J129" s="14" t="inlineStr">
        <is>
          <t>Active</t>
        </is>
      </c>
      <c r="K129" s="14" t="inlineStr">
        <is>
          <t>Generic/shared/service account defaulted to RS per instruction</t>
        </is>
      </c>
      <c r="L129" s="14" t="n">
        <v>1</v>
      </c>
      <c r="M129" s="14" t="inlineStr">
        <is>
          <t>Exchange Online (Plan 1)</t>
        </is>
      </c>
      <c r="N129" s="14" t="inlineStr"/>
    </row>
    <row r="130">
      <c r="A130" s="14" t="inlineStr">
        <is>
          <t>Service Account SSRS</t>
        </is>
      </c>
      <c r="B130" s="14" t="inlineStr">
        <is>
          <t>srv_acc_ssrs@WearCheckRS.com</t>
        </is>
      </c>
      <c r="C130" s="14" t="n"/>
      <c r="D130" s="14" t="inlineStr"/>
      <c r="E130" s="14" t="n"/>
      <c r="F130" s="14" t="inlineStr">
        <is>
          <t>RS</t>
        </is>
      </c>
      <c r="G130" s="14" t="inlineStr">
        <is>
          <t>Mapped by rule</t>
        </is>
      </c>
      <c r="H130" s="14" t="inlineStr">
        <is>
          <t>High</t>
        </is>
      </c>
      <c r="I130" s="14" t="inlineStr">
        <is>
          <t>No</t>
        </is>
      </c>
      <c r="J130" s="14" t="inlineStr">
        <is>
          <t>Active</t>
        </is>
      </c>
      <c r="K130" s="14" t="inlineStr">
        <is>
          <t>Generic/shared/service account defaulted to RS per instruction</t>
        </is>
      </c>
      <c r="L130" s="14" t="n">
        <v>2</v>
      </c>
      <c r="M130" s="14" t="inlineStr">
        <is>
          <t>Power Automate per user plan+Microsoft Power Automate Free</t>
        </is>
      </c>
      <c r="N130" s="14" t="inlineStr"/>
    </row>
    <row r="131">
      <c r="A131" s="14" t="inlineStr">
        <is>
          <t>Shaun Janse van Rensburg</t>
        </is>
      </c>
      <c r="B131" s="14" t="inlineStr">
        <is>
          <t>shaun@WearCheckRS.com</t>
        </is>
      </c>
      <c r="C131" s="14" t="inlineStr">
        <is>
          <t>Shaun Janse van Rensburg</t>
        </is>
      </c>
      <c r="D131" s="14" t="inlineStr">
        <is>
          <t>shaun@wearcheckrs.com</t>
        </is>
      </c>
      <c r="E131" s="14" t="inlineStr">
        <is>
          <t>WEC136</t>
        </is>
      </c>
      <c r="F131" s="14" t="inlineStr">
        <is>
          <t>RS</t>
        </is>
      </c>
      <c r="G131" s="14" t="inlineStr">
        <is>
          <t>Matched</t>
        </is>
      </c>
      <c r="H131" s="14" t="inlineStr">
        <is>
          <t>High</t>
        </is>
      </c>
      <c r="I131" s="14" t="inlineStr">
        <is>
          <t>No</t>
        </is>
      </c>
      <c r="J131" s="14" t="inlineStr">
        <is>
          <t>Active</t>
        </is>
      </c>
      <c r="K131" s="14" t="inlineStr">
        <is>
          <t>Exact company email match</t>
        </is>
      </c>
      <c r="L131" s="14" t="n">
        <v>2</v>
      </c>
      <c r="M131" s="14" t="inlineStr">
        <is>
          <t>Microsoft Defender for Office 365 (Plan 2)+Microsoft 365 Business Standard</t>
        </is>
      </c>
      <c r="N131" s="14" t="inlineStr"/>
    </row>
    <row r="132">
      <c r="A132" s="14" t="inlineStr">
        <is>
          <t>Shivon Alberts</t>
        </is>
      </c>
      <c r="B132" s="14" t="inlineStr">
        <is>
          <t>Shivon@WearCheckRS.com</t>
        </is>
      </c>
      <c r="C132" s="14" t="inlineStr">
        <is>
          <t>Shivon Chantelle Alberts</t>
        </is>
      </c>
      <c r="D132" s="14" t="inlineStr">
        <is>
          <t>shivon@wearcheckrs.com</t>
        </is>
      </c>
      <c r="E132" s="14" t="inlineStr">
        <is>
          <t>WEC130</t>
        </is>
      </c>
      <c r="F132" s="14" t="inlineStr">
        <is>
          <t>RS</t>
        </is>
      </c>
      <c r="G132" s="14" t="inlineStr">
        <is>
          <t>Matched</t>
        </is>
      </c>
      <c r="H132" s="14" t="inlineStr">
        <is>
          <t>High</t>
        </is>
      </c>
      <c r="I132" s="14" t="inlineStr">
        <is>
          <t>No</t>
        </is>
      </c>
      <c r="J132" s="14" t="inlineStr">
        <is>
          <t>Active</t>
        </is>
      </c>
      <c r="K132" s="14" t="inlineStr">
        <is>
          <t>Exact company email match</t>
        </is>
      </c>
      <c r="L132" s="14" t="n">
        <v>3</v>
      </c>
      <c r="M132" s="14" t="inlineStr">
        <is>
          <t>Microsoft 365 Business Premium+Microsoft Defender for Office 365 (Plan 2)+Microsoft Fabric (Free)</t>
        </is>
      </c>
      <c r="N132" s="14" t="inlineStr"/>
    </row>
    <row r="133">
      <c r="A133" s="14" t="inlineStr">
        <is>
          <t>Simon Difutso</t>
        </is>
      </c>
      <c r="B133" s="14" t="inlineStr">
        <is>
          <t>simondifutso@WearCheckRS.com</t>
        </is>
      </c>
      <c r="C133" s="14" t="inlineStr">
        <is>
          <t>Simon Petrus Difutso</t>
        </is>
      </c>
      <c r="D133" s="14" t="inlineStr">
        <is>
          <t>simondifutso@WearCheckRS.com</t>
        </is>
      </c>
      <c r="E133" s="14" t="inlineStr">
        <is>
          <t>WC485</t>
        </is>
      </c>
      <c r="F133" s="14" t="inlineStr">
        <is>
          <t>AFS</t>
        </is>
      </c>
      <c r="G133" s="14" t="inlineStr">
        <is>
          <t>Matched</t>
        </is>
      </c>
      <c r="H133" s="14" t="inlineStr">
        <is>
          <t>High</t>
        </is>
      </c>
      <c r="I133" s="14" t="inlineStr">
        <is>
          <t>No</t>
        </is>
      </c>
      <c r="J133" s="14" t="inlineStr">
        <is>
          <t>Active</t>
        </is>
      </c>
      <c r="K133" s="14" t="inlineStr">
        <is>
          <t>Exact company email match</t>
        </is>
      </c>
      <c r="L133" s="14" t="n">
        <v>2</v>
      </c>
      <c r="M133" s="14" t="inlineStr">
        <is>
          <t>Microsoft Defender for Office 365 (Plan 2)+Microsoft 365 Business Standard</t>
        </is>
      </c>
      <c r="N133" s="14" t="inlineStr"/>
    </row>
    <row r="134">
      <c r="A134" s="14" t="inlineStr">
        <is>
          <t>Simon Mosima</t>
        </is>
      </c>
      <c r="B134" s="14" t="inlineStr">
        <is>
          <t>Simon@WearCheckRS.com</t>
        </is>
      </c>
      <c r="C134" s="14" t="inlineStr">
        <is>
          <t>Mokale Simon Mosima</t>
        </is>
      </c>
      <c r="D134" s="14" t="inlineStr">
        <is>
          <t>simon@wearcheckrs.com</t>
        </is>
      </c>
      <c r="E134" s="14" t="inlineStr">
        <is>
          <t>WC283</t>
        </is>
      </c>
      <c r="F134" s="14" t="inlineStr">
        <is>
          <t>RS</t>
        </is>
      </c>
      <c r="G134" s="14" t="inlineStr">
        <is>
          <t>Matched</t>
        </is>
      </c>
      <c r="H134" s="14" t="inlineStr">
        <is>
          <t>High</t>
        </is>
      </c>
      <c r="I134" s="14" t="inlineStr">
        <is>
          <t>No</t>
        </is>
      </c>
      <c r="J134" s="14" t="inlineStr">
        <is>
          <t>Active</t>
        </is>
      </c>
      <c r="K134" s="14" t="inlineStr">
        <is>
          <t>Exact company email match</t>
        </is>
      </c>
      <c r="L134" s="14" t="n">
        <v>2</v>
      </c>
      <c r="M134" s="14" t="inlineStr">
        <is>
          <t>Microsoft Defender for Office 365 (Plan 2)+Microsoft 365 Business Standard</t>
        </is>
      </c>
      <c r="N134" s="14" t="inlineStr"/>
    </row>
    <row r="135">
      <c r="A135" s="14" t="inlineStr">
        <is>
          <t>Sipho Mathibela</t>
        </is>
      </c>
      <c r="B135" s="14" t="inlineStr">
        <is>
          <t>siphom@WearCheckRS.com</t>
        </is>
      </c>
      <c r="C135" s="14" t="inlineStr">
        <is>
          <t>Sipho Petros Mathibela</t>
        </is>
      </c>
      <c r="D135" s="14" t="inlineStr">
        <is>
          <t>siphom@wearcheckrs.com</t>
        </is>
      </c>
      <c r="E135" s="14" t="inlineStr">
        <is>
          <t>WEC039</t>
        </is>
      </c>
      <c r="F135" s="14" t="inlineStr">
        <is>
          <t>RS</t>
        </is>
      </c>
      <c r="G135" s="14" t="inlineStr">
        <is>
          <t>Matched</t>
        </is>
      </c>
      <c r="H135" s="14" t="inlineStr">
        <is>
          <t>High</t>
        </is>
      </c>
      <c r="I135" s="14" t="inlineStr">
        <is>
          <t>No</t>
        </is>
      </c>
      <c r="J135" s="14" t="inlineStr">
        <is>
          <t>Active</t>
        </is>
      </c>
      <c r="K135" s="14" t="inlineStr">
        <is>
          <t>Exact company email match</t>
        </is>
      </c>
      <c r="L135" s="14" t="n">
        <v>2</v>
      </c>
      <c r="M135" s="14" t="inlineStr">
        <is>
          <t>Microsoft Defender for Office 365 (Plan 2)+Microsoft 365 Business Standard</t>
        </is>
      </c>
      <c r="N135" s="14" t="inlineStr"/>
    </row>
    <row r="136">
      <c r="A136" s="14" t="inlineStr">
        <is>
          <t>Sipho Zwane</t>
        </is>
      </c>
      <c r="B136" s="14" t="inlineStr">
        <is>
          <t>siphoz@WearCheckRS.com</t>
        </is>
      </c>
      <c r="C136" s="14" t="inlineStr">
        <is>
          <t>Sipho Petros Zwane</t>
        </is>
      </c>
      <c r="D136" s="14" t="inlineStr">
        <is>
          <t>siphoz@wearcheckrs.com</t>
        </is>
      </c>
      <c r="E136" s="14" t="inlineStr">
        <is>
          <t>WC360</t>
        </is>
      </c>
      <c r="F136" s="14" t="inlineStr">
        <is>
          <t>RS</t>
        </is>
      </c>
      <c r="G136" s="14" t="inlineStr">
        <is>
          <t>Matched</t>
        </is>
      </c>
      <c r="H136" s="14" t="inlineStr">
        <is>
          <t>High</t>
        </is>
      </c>
      <c r="I136" s="14" t="inlineStr">
        <is>
          <t>No</t>
        </is>
      </c>
      <c r="J136" s="14" t="inlineStr">
        <is>
          <t>Active</t>
        </is>
      </c>
      <c r="K136" s="14" t="inlineStr">
        <is>
          <t>Exact company email match</t>
        </is>
      </c>
      <c r="L136" s="14" t="n">
        <v>2</v>
      </c>
      <c r="M136" s="14" t="inlineStr">
        <is>
          <t>Microsoft Defender for Office 365 (Plan 2)+Microsoft 365 Business Standard</t>
        </is>
      </c>
      <c r="N136" s="14" t="inlineStr"/>
    </row>
    <row r="137">
      <c r="A137" s="14" t="inlineStr">
        <is>
          <t>Stephanie Du Plessis</t>
        </is>
      </c>
      <c r="B137" s="14" t="inlineStr">
        <is>
          <t>stephanied@wearcheckrs.com</t>
        </is>
      </c>
      <c r="C137" s="14" t="inlineStr"/>
      <c r="D137" s="14" t="inlineStr"/>
      <c r="E137" s="14" t="inlineStr"/>
      <c r="F137" s="14" t="inlineStr">
        <is>
          <t>RS</t>
        </is>
      </c>
      <c r="G137" s="14" t="inlineStr">
        <is>
          <t>Confirmed</t>
        </is>
      </c>
      <c r="H137" s="14" t="inlineStr">
        <is>
          <t>High</t>
        </is>
      </c>
      <c r="I137" s="14" t="inlineStr">
        <is>
          <t>No</t>
        </is>
      </c>
      <c r="J137" s="14" t="inlineStr">
        <is>
          <t>Active</t>
        </is>
      </c>
      <c r="K137" s="14" t="inlineStr">
        <is>
          <t>Missed on employee list — now added (reviewed)</t>
        </is>
      </c>
      <c r="L137" s="14" t="n">
        <v>2</v>
      </c>
      <c r="M137" s="14" t="inlineStr">
        <is>
          <t>Microsoft 365 Business Standard+Microsoft Defender for Office 365 (Plan 2)</t>
        </is>
      </c>
      <c r="N137" s="14" t="inlineStr"/>
    </row>
    <row r="138">
      <c r="A138" s="14" t="inlineStr">
        <is>
          <t>Teresa Venter</t>
        </is>
      </c>
      <c r="B138" s="14" t="inlineStr">
        <is>
          <t>teresa.venter@WearCheckRS.com</t>
        </is>
      </c>
      <c r="C138" s="14" t="inlineStr">
        <is>
          <t>Teresa Venter</t>
        </is>
      </c>
      <c r="D138" s="14" t="inlineStr">
        <is>
          <t>teresa.venter@wearcheckRS.com</t>
        </is>
      </c>
      <c r="E138" s="14" t="inlineStr">
        <is>
          <t>WC487</t>
        </is>
      </c>
      <c r="F138" s="14" t="inlineStr">
        <is>
          <t>AFS</t>
        </is>
      </c>
      <c r="G138" s="14" t="inlineStr">
        <is>
          <t>Matched</t>
        </is>
      </c>
      <c r="H138" s="14" t="inlineStr">
        <is>
          <t>High</t>
        </is>
      </c>
      <c r="I138" s="14" t="inlineStr">
        <is>
          <t>No</t>
        </is>
      </c>
      <c r="J138" s="14" t="inlineStr">
        <is>
          <t>Active</t>
        </is>
      </c>
      <c r="K138" s="14" t="inlineStr">
        <is>
          <t>Exact company email match</t>
        </is>
      </c>
      <c r="L138" s="14" t="n">
        <v>3</v>
      </c>
      <c r="M138" s="14" t="inlineStr">
        <is>
          <t>Microsoft Defender for Office 365 (Plan 2)+Microsoft Power Automate Free+Microsoft 365 Business Standard</t>
        </is>
      </c>
      <c r="N138" s="14" t="inlineStr"/>
    </row>
    <row r="139">
      <c r="A139" s="15" t="inlineStr">
        <is>
          <t>Thabang Mathumba</t>
        </is>
      </c>
      <c r="B139" s="15" t="inlineStr">
        <is>
          <t>thabang@WearCheckRS.com</t>
        </is>
      </c>
      <c r="C139" s="15" t="inlineStr"/>
      <c r="D139" s="15" t="inlineStr"/>
      <c r="E139" s="15" t="inlineStr"/>
      <c r="F139" s="15" t="inlineStr">
        <is>
          <t>RS</t>
        </is>
      </c>
      <c r="G139" s="15" t="inlineStr">
        <is>
          <t>Ex-Employee</t>
        </is>
      </c>
      <c r="H139" s="15" t="inlineStr">
        <is>
          <t>High</t>
        </is>
      </c>
      <c r="I139" s="15" t="inlineStr">
        <is>
          <t>No</t>
        </is>
      </c>
      <c r="J139" s="15" t="inlineStr">
        <is>
          <t>Ex-Employee</t>
        </is>
      </c>
      <c r="K139" s="15" t="inlineStr">
        <is>
          <t>No longer an employee. FLAG: Remove licence.</t>
        </is>
      </c>
      <c r="L139" s="15" t="n">
        <v>2</v>
      </c>
      <c r="M139" s="15" t="inlineStr">
        <is>
          <t>Microsoft Defender for Office 365 (Plan 2)+Microsoft 365 Business Standard</t>
        </is>
      </c>
      <c r="N139" s="15" t="inlineStr"/>
    </row>
    <row r="140">
      <c r="A140" s="14" t="inlineStr">
        <is>
          <t>Thapelo Mohlala</t>
        </is>
      </c>
      <c r="B140" s="14" t="inlineStr">
        <is>
          <t>Thapelo@WearCheckRS.com</t>
        </is>
      </c>
      <c r="C140" s="14" t="inlineStr">
        <is>
          <t>Thapelo Pebetsi Mohlala</t>
        </is>
      </c>
      <c r="D140" s="14" t="inlineStr">
        <is>
          <t>Thapelo@wearCheckRS.com</t>
        </is>
      </c>
      <c r="E140" s="14" t="inlineStr">
        <is>
          <t>WEC132</t>
        </is>
      </c>
      <c r="F140" s="14" t="inlineStr">
        <is>
          <t>RS</t>
        </is>
      </c>
      <c r="G140" s="14" t="inlineStr">
        <is>
          <t>Matched</t>
        </is>
      </c>
      <c r="H140" s="14" t="inlineStr">
        <is>
          <t>High</t>
        </is>
      </c>
      <c r="I140" s="14" t="inlineStr">
        <is>
          <t>No</t>
        </is>
      </c>
      <c r="J140" s="14" t="inlineStr">
        <is>
          <t>Active</t>
        </is>
      </c>
      <c r="K140" s="14" t="inlineStr">
        <is>
          <t>Exact company email match</t>
        </is>
      </c>
      <c r="L140" s="14" t="n">
        <v>2</v>
      </c>
      <c r="M140" s="14" t="inlineStr">
        <is>
          <t>Microsoft Defender for Office 365 (Plan 2)+Microsoft 365 Business Standard</t>
        </is>
      </c>
      <c r="N140" s="14" t="inlineStr"/>
    </row>
    <row r="141">
      <c r="A141" s="14" t="inlineStr">
        <is>
          <t>Thomas Mdhlala</t>
        </is>
      </c>
      <c r="B141" s="14" t="inlineStr">
        <is>
          <t>thomas@WearCheckRS.com</t>
        </is>
      </c>
      <c r="C141" s="14" t="inlineStr">
        <is>
          <t>Thomas Mdhlala</t>
        </is>
      </c>
      <c r="D141" s="14" t="inlineStr">
        <is>
          <t>Thomas@wearcheckrs.com</t>
        </is>
      </c>
      <c r="E141" s="14" t="inlineStr">
        <is>
          <t>WC243</t>
        </is>
      </c>
      <c r="F141" s="14" t="inlineStr">
        <is>
          <t>RS</t>
        </is>
      </c>
      <c r="G141" s="14" t="inlineStr">
        <is>
          <t>Matched</t>
        </is>
      </c>
      <c r="H141" s="14" t="inlineStr">
        <is>
          <t>High</t>
        </is>
      </c>
      <c r="I141" s="14" t="inlineStr">
        <is>
          <t>No</t>
        </is>
      </c>
      <c r="J141" s="14" t="inlineStr">
        <is>
          <t>Active</t>
        </is>
      </c>
      <c r="K141" s="14" t="inlineStr">
        <is>
          <t>Exact company email match</t>
        </is>
      </c>
      <c r="L141" s="14" t="n">
        <v>2</v>
      </c>
      <c r="M141" s="14" t="inlineStr">
        <is>
          <t>Microsoft Defender for Office 365 (Plan 2)+Microsoft 365 Business Standard</t>
        </is>
      </c>
      <c r="N141" s="14" t="inlineStr"/>
    </row>
    <row r="142">
      <c r="A142" s="14" t="inlineStr">
        <is>
          <t>Thulani Tembe</t>
        </is>
      </c>
      <c r="B142" s="14" t="inlineStr">
        <is>
          <t>thulani@WearCheckRS.com</t>
        </is>
      </c>
      <c r="C142" s="14" t="inlineStr">
        <is>
          <t>Thulani Tembe</t>
        </is>
      </c>
      <c r="D142" s="14" t="inlineStr">
        <is>
          <t>thulani@wearcheckrs.com</t>
        </is>
      </c>
      <c r="E142" s="14" t="inlineStr">
        <is>
          <t>WEC062</t>
        </is>
      </c>
      <c r="F142" s="14" t="inlineStr">
        <is>
          <t>RS</t>
        </is>
      </c>
      <c r="G142" s="14" t="inlineStr">
        <is>
          <t>Matched</t>
        </is>
      </c>
      <c r="H142" s="14" t="inlineStr">
        <is>
          <t>High</t>
        </is>
      </c>
      <c r="I142" s="14" t="inlineStr">
        <is>
          <t>No</t>
        </is>
      </c>
      <c r="J142" s="14" t="inlineStr">
        <is>
          <t>Active</t>
        </is>
      </c>
      <c r="K142" s="14" t="inlineStr">
        <is>
          <t>Exact company email match</t>
        </is>
      </c>
      <c r="L142" s="14" t="n">
        <v>3</v>
      </c>
      <c r="M142" s="14" t="inlineStr">
        <is>
          <t>Microsoft Defender for Office 365 (Plan 2)+Microsoft Power Automate Free+Microsoft 365 Business Standard</t>
        </is>
      </c>
      <c r="N142" s="14" t="inlineStr"/>
    </row>
    <row r="143">
      <c r="A143" s="14" t="inlineStr">
        <is>
          <t>Tonny Simelani</t>
        </is>
      </c>
      <c r="B143" s="14" t="inlineStr">
        <is>
          <t>tonny@WearCheckRS.com</t>
        </is>
      </c>
      <c r="C143" s="14" t="inlineStr">
        <is>
          <t>Tonny Simelani</t>
        </is>
      </c>
      <c r="D143" s="14" t="inlineStr">
        <is>
          <t>tonny@wearcheckrs.com</t>
        </is>
      </c>
      <c r="E143" s="14" t="inlineStr">
        <is>
          <t>WEC057</t>
        </is>
      </c>
      <c r="F143" s="14" t="inlineStr">
        <is>
          <t>RS</t>
        </is>
      </c>
      <c r="G143" s="14" t="inlineStr">
        <is>
          <t>Matched</t>
        </is>
      </c>
      <c r="H143" s="14" t="inlineStr">
        <is>
          <t>High</t>
        </is>
      </c>
      <c r="I143" s="14" t="inlineStr">
        <is>
          <t>No</t>
        </is>
      </c>
      <c r="J143" s="14" t="inlineStr">
        <is>
          <t>Active</t>
        </is>
      </c>
      <c r="K143" s="14" t="inlineStr">
        <is>
          <t>Exact company email match</t>
        </is>
      </c>
      <c r="L143" s="14" t="n">
        <v>2</v>
      </c>
      <c r="M143" s="14" t="inlineStr">
        <is>
          <t>Microsoft Defender for Office 365 (Plan 2)+Microsoft 365 Business Standard</t>
        </is>
      </c>
      <c r="N143" s="14" t="inlineStr"/>
    </row>
    <row r="144">
      <c r="A144" s="14" t="inlineStr">
        <is>
          <t>Tsietsi Monnanyne</t>
        </is>
      </c>
      <c r="B144" s="14" t="inlineStr">
        <is>
          <t>tsietsi@WearCheckRS.com</t>
        </is>
      </c>
      <c r="C144" s="14" t="inlineStr">
        <is>
          <t>Tsietsi Petric Monnanyane</t>
        </is>
      </c>
      <c r="D144" s="14" t="inlineStr">
        <is>
          <t>tsietsi@wearcheckrs.com</t>
        </is>
      </c>
      <c r="E144" s="14" t="inlineStr">
        <is>
          <t>WEC133</t>
        </is>
      </c>
      <c r="F144" s="14" t="inlineStr">
        <is>
          <t>RS</t>
        </is>
      </c>
      <c r="G144" s="14" t="inlineStr">
        <is>
          <t>Matched</t>
        </is>
      </c>
      <c r="H144" s="14" t="inlineStr">
        <is>
          <t>High</t>
        </is>
      </c>
      <c r="I144" s="14" t="inlineStr">
        <is>
          <t>No</t>
        </is>
      </c>
      <c r="J144" s="14" t="inlineStr">
        <is>
          <t>Active</t>
        </is>
      </c>
      <c r="K144" s="14" t="inlineStr">
        <is>
          <t>Exact company email match</t>
        </is>
      </c>
      <c r="L144" s="14" t="n">
        <v>2</v>
      </c>
      <c r="M144" s="14" t="inlineStr">
        <is>
          <t>Microsoft Fabric (Free)+Microsoft 365 Business Standard</t>
        </is>
      </c>
      <c r="N144" s="14" t="inlineStr"/>
    </row>
    <row r="145">
      <c r="A145" s="15" t="inlineStr">
        <is>
          <t>Tumelo</t>
        </is>
      </c>
      <c r="B145" s="15" t="inlineStr">
        <is>
          <t>tumelo.samancor@WearCheckRS.com</t>
        </is>
      </c>
      <c r="C145" s="15" t="inlineStr"/>
      <c r="D145" s="15" t="inlineStr"/>
      <c r="E145" s="15" t="inlineStr"/>
      <c r="F145" s="15" t="inlineStr">
        <is>
          <t>RS</t>
        </is>
      </c>
      <c r="G145" s="15" t="inlineStr">
        <is>
          <t>Ex-Employee</t>
        </is>
      </c>
      <c r="H145" s="15" t="inlineStr">
        <is>
          <t>High</t>
        </is>
      </c>
      <c r="I145" s="15" t="inlineStr">
        <is>
          <t>No</t>
        </is>
      </c>
      <c r="J145" s="15" t="inlineStr">
        <is>
          <t>Ex-Employee</t>
        </is>
      </c>
      <c r="K145" s="15" t="inlineStr">
        <is>
          <t>No longer an employee. FLAG: Remove licence.</t>
        </is>
      </c>
      <c r="L145" s="15" t="n">
        <v>1</v>
      </c>
      <c r="M145" s="15" t="inlineStr">
        <is>
          <t>Microsoft Fabric (Free)</t>
        </is>
      </c>
      <c r="N145" s="15" t="inlineStr"/>
    </row>
    <row r="146">
      <c r="A146" s="14" t="inlineStr">
        <is>
          <t>Vernon Calvert</t>
        </is>
      </c>
      <c r="B146" s="14" t="inlineStr">
        <is>
          <t>Vernon@WearCheckRS.com</t>
        </is>
      </c>
      <c r="C146" s="14" t="inlineStr">
        <is>
          <t>Vernon Calvert</t>
        </is>
      </c>
      <c r="D146" s="14" t="inlineStr">
        <is>
          <t>vernon@wearcheckrs.com</t>
        </is>
      </c>
      <c r="E146" s="14" t="inlineStr">
        <is>
          <t>WEC124</t>
        </is>
      </c>
      <c r="F146" s="14" t="inlineStr">
        <is>
          <t>RS</t>
        </is>
      </c>
      <c r="G146" s="14" t="inlineStr">
        <is>
          <t>Matched</t>
        </is>
      </c>
      <c r="H146" s="14" t="inlineStr">
        <is>
          <t>High</t>
        </is>
      </c>
      <c r="I146" s="14" t="inlineStr">
        <is>
          <t>No</t>
        </is>
      </c>
      <c r="J146" s="14" t="inlineStr">
        <is>
          <t>Active</t>
        </is>
      </c>
      <c r="K146" s="14" t="inlineStr">
        <is>
          <t>Exact company email match</t>
        </is>
      </c>
      <c r="L146" s="14" t="n">
        <v>2</v>
      </c>
      <c r="M146" s="14" t="inlineStr">
        <is>
          <t>Microsoft Defender for Office 365 (Plan 2)+Microsoft 365 Business Standard</t>
        </is>
      </c>
      <c r="N146" s="14" t="inlineStr"/>
    </row>
    <row r="147">
      <c r="A147" s="14" t="inlineStr">
        <is>
          <t>WCKRS-HSEQ</t>
        </is>
      </c>
      <c r="B147" s="14" t="inlineStr">
        <is>
          <t>HSEQ@WearCheckRS.com</t>
        </is>
      </c>
      <c r="C147" s="14" t="n"/>
      <c r="D147" s="14" t="inlineStr"/>
      <c r="E147" s="14" t="n"/>
      <c r="F147" s="14" t="inlineStr">
        <is>
          <t>RS</t>
        </is>
      </c>
      <c r="G147" s="14" t="inlineStr">
        <is>
          <t>Mapped by rule</t>
        </is>
      </c>
      <c r="H147" s="14" t="inlineStr">
        <is>
          <t>High</t>
        </is>
      </c>
      <c r="I147" s="14" t="inlineStr">
        <is>
          <t>No</t>
        </is>
      </c>
      <c r="J147" s="14" t="inlineStr">
        <is>
          <t>Active</t>
        </is>
      </c>
      <c r="K147" s="14" t="inlineStr">
        <is>
          <t>Generic/shared/service account defaulted to RS per instruction</t>
        </is>
      </c>
      <c r="L147" s="14" t="n">
        <v>2</v>
      </c>
      <c r="M147" s="14" t="inlineStr">
        <is>
          <t>Microsoft Defender for Office 365 (Plan 2)+Microsoft 365 E3</t>
        </is>
      </c>
      <c r="N147" s="14" t="inlineStr"/>
    </row>
    <row r="148">
      <c r="A148" s="14" t="inlineStr">
        <is>
          <t>Wihan Willer</t>
        </is>
      </c>
      <c r="B148" s="14" t="inlineStr">
        <is>
          <t>Wihan@WearCheckRS.com</t>
        </is>
      </c>
      <c r="C148" s="14" t="inlineStr">
        <is>
          <t>Wihan Manu Willer</t>
        </is>
      </c>
      <c r="D148" s="14" t="inlineStr">
        <is>
          <t>wihan@wearcheckRS.com</t>
        </is>
      </c>
      <c r="E148" s="14" t="inlineStr">
        <is>
          <t>WEC127</t>
        </is>
      </c>
      <c r="F148" s="14" t="inlineStr">
        <is>
          <t>RS</t>
        </is>
      </c>
      <c r="G148" s="14" t="inlineStr">
        <is>
          <t>Matched</t>
        </is>
      </c>
      <c r="H148" s="14" t="inlineStr">
        <is>
          <t>High</t>
        </is>
      </c>
      <c r="I148" s="14" t="inlineStr">
        <is>
          <t>No</t>
        </is>
      </c>
      <c r="J148" s="14" t="inlineStr">
        <is>
          <t>Active</t>
        </is>
      </c>
      <c r="K148" s="14" t="inlineStr">
        <is>
          <t>Exact company email match</t>
        </is>
      </c>
      <c r="L148" s="14" t="n">
        <v>2</v>
      </c>
      <c r="M148" s="14" t="inlineStr">
        <is>
          <t>Microsoft Defender for Office 365 (Plan 2)+Microsoft 365 Business Standard</t>
        </is>
      </c>
      <c r="N148" s="14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16"/>
  <autoFilter ref="A1:N148"/>
  <dataValidations count="1">
    <dataValidation sqref="F2:F148" showDropDown="0" showInputMessage="0" showErrorMessage="0" allowBlank="1" errorTitle="Invalid Division" error="Please select a valid division" promptTitle="Division" prompt="Select from: RS, AFS, Namibia, Mozambique" type="list">
      <formula1>"RS,AFS,Namibia,Mozambique"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D7D31"/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22" customWidth="1" min="3" max="3"/>
    <col width="41" customWidth="1" min="4" max="4"/>
    <col width="50" customWidth="1" min="5" max="5"/>
    <col width="50" customWidth="1" min="6" max="6"/>
    <col width="17" customWidth="1" min="7" max="7"/>
    <col width="50" customWidth="1" min="8" max="8"/>
    <col width="14" customWidth="1" min="9" max="9"/>
    <col width="33" customWidth="1" min="10" max="10"/>
    <col width="50" customWidth="1" min="11" max="11"/>
  </cols>
  <sheetData>
    <row r="1">
      <c r="A1" s="13" t="inlineStr">
        <is>
          <t>SKU</t>
        </is>
      </c>
      <c r="B1" s="13" t="inlineStr">
        <is>
          <t>Active Users</t>
        </is>
      </c>
      <c r="C1" s="13" t="inlineStr">
        <is>
          <t>Billing Hint</t>
        </is>
      </c>
      <c r="D1" s="13" t="inlineStr">
        <is>
          <t>Monthly Invoice Amount (excl VAT, ZAR)</t>
        </is>
      </c>
      <c r="E1" s="13" t="inlineStr">
        <is>
          <t>Unit Cost Per User (excl VAT)</t>
        </is>
      </c>
      <c r="F1" s="13" t="inlineStr">
        <is>
          <t>VAT Amount</t>
        </is>
      </c>
      <c r="G1" s="13" t="inlineStr">
        <is>
          <t>Total incl VAT</t>
        </is>
      </c>
      <c r="H1" s="13" t="inlineStr">
        <is>
          <t>Notes</t>
        </is>
      </c>
      <c r="I1" s="13" t="inlineStr">
        <is>
          <t>Invoice Qty</t>
        </is>
      </c>
      <c r="J1" s="13" t="inlineStr">
        <is>
          <t>Qty Variance (Admin − Invoice)</t>
        </is>
      </c>
      <c r="K1" s="13" t="inlineStr">
        <is>
          <t>Variance Note</t>
        </is>
      </c>
    </row>
    <row r="2">
      <c r="A2" s="14" t="inlineStr">
        <is>
          <t>Microsoft Defender for Office 365 (Plan 2)</t>
        </is>
      </c>
      <c r="B2" s="14" t="n">
        <v>130</v>
      </c>
      <c r="C2" s="14" t="inlineStr">
        <is>
          <t>Likely billable</t>
        </is>
      </c>
      <c r="D2" s="17" t="n">
        <v>10892.7</v>
      </c>
      <c r="E2" s="18">
        <f>IF(B2=0,0,D2/B2)</f>
        <v/>
      </c>
      <c r="F2" s="18">
        <f>D2*Invoice_Input!B10</f>
        <v/>
      </c>
      <c r="G2" s="18">
        <f>D2+F2</f>
        <v/>
      </c>
      <c r="H2" s="14" t="inlineStr">
        <is>
          <t>Pre-filled from Invoice INV-0303 (invoice-only SKU — not in admin export)</t>
        </is>
      </c>
      <c r="I2" s="14" t="n">
        <v>130</v>
      </c>
      <c r="J2" s="14" t="n">
        <v>0</v>
      </c>
      <c r="K2" s="19" t="inlineStr">
        <is>
          <t>Match</t>
        </is>
      </c>
    </row>
    <row r="3">
      <c r="A3" s="14" t="inlineStr">
        <is>
          <t>Microsoft 365 Business Standard</t>
        </is>
      </c>
      <c r="B3" s="14" t="n">
        <v>100</v>
      </c>
      <c r="C3" s="14" t="inlineStr">
        <is>
          <t>Likely billable</t>
        </is>
      </c>
      <c r="D3" s="17" t="n">
        <v>20326.35</v>
      </c>
      <c r="E3" s="18">
        <f>IF(B3=0,0,D3/B3)</f>
        <v/>
      </c>
      <c r="F3" s="18">
        <f>D3*Invoice_Input!B10</f>
        <v/>
      </c>
      <c r="G3" s="18">
        <f>D3+F3</f>
        <v/>
      </c>
      <c r="H3" s="14" t="inlineStr">
        <is>
          <t>Pre-filled from Invoice INV-0303 (invoice-only SKU — not in admin export)</t>
        </is>
      </c>
      <c r="I3" s="14" t="n">
        <v>97</v>
      </c>
      <c r="J3" s="20" t="n">
        <v>3</v>
      </c>
      <c r="K3" s="16" t="inlineStr">
        <is>
          <t>Admin has 3 more — likely added after invoice billing date</t>
        </is>
      </c>
    </row>
    <row r="4">
      <c r="A4" s="14" t="inlineStr">
        <is>
          <t>Microsoft Power Automate Free</t>
        </is>
      </c>
      <c r="B4" s="14" t="n">
        <v>52</v>
      </c>
      <c r="C4" s="14" t="inlineStr">
        <is>
          <t>Likely free / trial</t>
        </is>
      </c>
      <c r="D4" s="21" t="n">
        <v>0</v>
      </c>
      <c r="E4" s="18">
        <f>IF(B4=0,0,D4/B4)</f>
        <v/>
      </c>
      <c r="F4" s="18">
        <f>D4*Invoice_Input!B10</f>
        <v/>
      </c>
      <c r="G4" s="18">
        <f>D4+F4</f>
        <v/>
      </c>
      <c r="H4" s="14" t="inlineStr">
        <is>
          <t>Free/trial — R0.00 pre-filled (no invoice cost expected)</t>
        </is>
      </c>
      <c r="I4" s="14" t="inlineStr">
        <is>
          <t>N/A</t>
        </is>
      </c>
      <c r="J4" s="14" t="inlineStr">
        <is>
          <t>N/A</t>
        </is>
      </c>
      <c r="K4" s="14" t="inlineStr">
        <is>
          <t>Not on invoice (free/trial)</t>
        </is>
      </c>
    </row>
    <row r="5">
      <c r="A5" s="14" t="inlineStr">
        <is>
          <t>Microsoft Fabric (Free)</t>
        </is>
      </c>
      <c r="B5" s="14" t="n">
        <v>50</v>
      </c>
      <c r="C5" s="14" t="inlineStr">
        <is>
          <t>Likely free / trial</t>
        </is>
      </c>
      <c r="D5" s="21" t="n">
        <v>0</v>
      </c>
      <c r="E5" s="18">
        <f>IF(B5=0,0,D5/B5)</f>
        <v/>
      </c>
      <c r="F5" s="18">
        <f>D5*Invoice_Input!B10</f>
        <v/>
      </c>
      <c r="G5" s="18">
        <f>D5+F5</f>
        <v/>
      </c>
      <c r="H5" s="14" t="inlineStr">
        <is>
          <t>Free/trial — R0.00 pre-filled (no invoice cost expected)</t>
        </is>
      </c>
      <c r="I5" s="14" t="inlineStr">
        <is>
          <t>N/A</t>
        </is>
      </c>
      <c r="J5" s="14" t="inlineStr">
        <is>
          <t>N/A</t>
        </is>
      </c>
      <c r="K5" s="14" t="inlineStr">
        <is>
          <t>Not on invoice (free/trial)</t>
        </is>
      </c>
    </row>
    <row r="6">
      <c r="A6" s="14" t="inlineStr">
        <is>
          <t>Microsoft 365 Business Premium</t>
        </is>
      </c>
      <c r="B6" s="14" t="n">
        <v>21</v>
      </c>
      <c r="C6" s="14" t="inlineStr">
        <is>
          <t>Likely billable</t>
        </is>
      </c>
      <c r="D6" s="17" t="n">
        <v>8479.639999999999</v>
      </c>
      <c r="E6" s="18">
        <f>IF(B6=0,0,D6/B6)</f>
        <v/>
      </c>
      <c r="F6" s="18">
        <f>D6*Invoice_Input!B10</f>
        <v/>
      </c>
      <c r="G6" s="18">
        <f>D6+F6</f>
        <v/>
      </c>
      <c r="H6" s="14" t="inlineStr">
        <is>
          <t>Pre-filled from Invoice INV-0303 (invoice-only SKU — not in admin export)</t>
        </is>
      </c>
      <c r="I6" s="14" t="n">
        <v>23</v>
      </c>
      <c r="J6" s="20" t="n">
        <v>-2</v>
      </c>
      <c r="K6" s="16" t="inlineStr">
        <is>
          <t>Invoice has 2 more — users may have been removed after billing</t>
        </is>
      </c>
    </row>
    <row r="7">
      <c r="A7" s="14" t="inlineStr">
        <is>
          <t>Microsoft 365 E3</t>
        </is>
      </c>
      <c r="B7" s="14" t="n">
        <v>14</v>
      </c>
      <c r="C7" s="14" t="inlineStr">
        <is>
          <t>Likely billable</t>
        </is>
      </c>
      <c r="D7" s="17" t="n">
        <v>9049.35</v>
      </c>
      <c r="E7" s="18">
        <f>IF(B7=0,0,D7/B7)</f>
        <v/>
      </c>
      <c r="F7" s="18">
        <f>D7*Invoice_Input!B10</f>
        <v/>
      </c>
      <c r="G7" s="18">
        <f>D7+F7</f>
        <v/>
      </c>
      <c r="H7" s="14" t="inlineStr">
        <is>
          <t>Pre-filled from Invoice INV-0303 (invoice-only SKU — not in admin export)</t>
        </is>
      </c>
      <c r="I7" s="14" t="n">
        <v>15</v>
      </c>
      <c r="J7" s="20" t="n">
        <v>-1</v>
      </c>
      <c r="K7" s="16" t="inlineStr">
        <is>
          <t>Invoice has 1 more — users may have been removed after billing</t>
        </is>
      </c>
    </row>
    <row r="8">
      <c r="A8" s="14" t="inlineStr">
        <is>
          <t>Microsoft Copilot Studio Viral Trial</t>
        </is>
      </c>
      <c r="B8" s="14" t="n">
        <v>7</v>
      </c>
      <c r="C8" s="14" t="inlineStr">
        <is>
          <t>Likely free / trial</t>
        </is>
      </c>
      <c r="D8" s="21" t="n">
        <v>0</v>
      </c>
      <c r="E8" s="18">
        <f>IF(B8=0,0,D8/B8)</f>
        <v/>
      </c>
      <c r="F8" s="18">
        <f>D8*Invoice_Input!B10</f>
        <v/>
      </c>
      <c r="G8" s="18">
        <f>D8+F8</f>
        <v/>
      </c>
      <c r="H8" s="14" t="inlineStr">
        <is>
          <t>Free/trial — R0.00 pre-filled (no invoice cost expected)</t>
        </is>
      </c>
      <c r="I8" s="14" t="inlineStr">
        <is>
          <t>N/A</t>
        </is>
      </c>
      <c r="J8" s="14" t="inlineStr">
        <is>
          <t>N/A</t>
        </is>
      </c>
      <c r="K8" s="14" t="inlineStr">
        <is>
          <t>Not on invoice (free/trial)</t>
        </is>
      </c>
    </row>
    <row r="9">
      <c r="A9" s="14" t="inlineStr">
        <is>
          <t>Microsoft Power Apps Plan 2 Trial</t>
        </is>
      </c>
      <c r="B9" s="14" t="n">
        <v>6</v>
      </c>
      <c r="C9" s="14" t="inlineStr">
        <is>
          <t>Likely free / trial</t>
        </is>
      </c>
      <c r="D9" s="21" t="n">
        <v>0</v>
      </c>
      <c r="E9" s="18">
        <f>IF(B9=0,0,D9/B9)</f>
        <v/>
      </c>
      <c r="F9" s="18">
        <f>D9*Invoice_Input!B10</f>
        <v/>
      </c>
      <c r="G9" s="18">
        <f>D9+F9</f>
        <v/>
      </c>
      <c r="H9" s="14" t="inlineStr">
        <is>
          <t>Free/trial — R0.00 pre-filled (no invoice cost expected)</t>
        </is>
      </c>
      <c r="I9" s="14" t="inlineStr">
        <is>
          <t>N/A</t>
        </is>
      </c>
      <c r="J9" s="14" t="inlineStr">
        <is>
          <t>N/A</t>
        </is>
      </c>
      <c r="K9" s="14" t="inlineStr">
        <is>
          <t>Not on invoice (free/trial)</t>
        </is>
      </c>
    </row>
    <row r="10">
      <c r="A10" s="14" t="inlineStr">
        <is>
          <t>Microsoft Power Apps for Developer</t>
        </is>
      </c>
      <c r="B10" s="14" t="n">
        <v>6</v>
      </c>
      <c r="C10" s="14" t="inlineStr">
        <is>
          <t>Likely billable</t>
        </is>
      </c>
      <c r="D10" s="17" t="n">
        <v>0</v>
      </c>
      <c r="E10" s="18">
        <f>IF(B10=0,0,D10/B10)</f>
        <v/>
      </c>
      <c r="F10" s="18">
        <f>D10*Invoice_Input!B10</f>
        <v/>
      </c>
      <c r="G10" s="18">
        <f>D10+F10</f>
        <v/>
      </c>
      <c r="H10" s="14" t="inlineStr">
        <is>
          <t>Enter the excl-VAT invoice amount for this SKU line item</t>
        </is>
      </c>
      <c r="I10" s="14" t="inlineStr">
        <is>
          <t>N/A</t>
        </is>
      </c>
      <c r="J10" s="14" t="inlineStr">
        <is>
          <t>N/A</t>
        </is>
      </c>
      <c r="K10" s="14" t="inlineStr">
        <is>
          <t>Not on invoice (free/trial)</t>
        </is>
      </c>
    </row>
    <row r="11">
      <c r="A11" s="14" t="inlineStr">
        <is>
          <t>Power BI Premium Per User</t>
        </is>
      </c>
      <c r="B11" s="14" t="n">
        <v>6</v>
      </c>
      <c r="C11" s="14" t="inlineStr">
        <is>
          <t>Likely billable</t>
        </is>
      </c>
      <c r="D11" s="17" t="n">
        <v>2815.33</v>
      </c>
      <c r="E11" s="18">
        <f>IF(B11=0,0,D11/B11)</f>
        <v/>
      </c>
      <c r="F11" s="18">
        <f>D11*Invoice_Input!B10</f>
        <v/>
      </c>
      <c r="G11" s="18">
        <f>D11+F11</f>
        <v/>
      </c>
      <c r="H11" s="14" t="inlineStr">
        <is>
          <t>Pre-filled from Invoice INV-0303 (invoice-only SKU — not in admin export)</t>
        </is>
      </c>
      <c r="I11" s="14" t="n">
        <v>7</v>
      </c>
      <c r="J11" s="20" t="n">
        <v>-1</v>
      </c>
      <c r="K11" s="16" t="inlineStr">
        <is>
          <t>Invoice has 1 more — users may have been removed after billing</t>
        </is>
      </c>
    </row>
    <row r="12">
      <c r="A12" s="14" t="inlineStr">
        <is>
          <t>Power Pages vTrial for Makers</t>
        </is>
      </c>
      <c r="B12" s="14" t="n">
        <v>5</v>
      </c>
      <c r="C12" s="14" t="inlineStr">
        <is>
          <t>Likely free / trial</t>
        </is>
      </c>
      <c r="D12" s="21" t="n">
        <v>0</v>
      </c>
      <c r="E12" s="18">
        <f>IF(B12=0,0,D12/B12)</f>
        <v/>
      </c>
      <c r="F12" s="18">
        <f>D12*Invoice_Input!B10</f>
        <v/>
      </c>
      <c r="G12" s="18">
        <f>D12+F12</f>
        <v/>
      </c>
      <c r="H12" s="14" t="inlineStr">
        <is>
          <t>Free/trial — R0.00 pre-filled (no invoice cost expected)</t>
        </is>
      </c>
      <c r="I12" s="14" t="inlineStr">
        <is>
          <t>N/A</t>
        </is>
      </c>
      <c r="J12" s="14" t="inlineStr">
        <is>
          <t>N/A</t>
        </is>
      </c>
      <c r="K12" s="14" t="inlineStr">
        <is>
          <t>Not on invoice (free/trial)</t>
        </is>
      </c>
    </row>
    <row r="13">
      <c r="A13" s="14" t="inlineStr">
        <is>
          <t>Exchange Online (Plan 1)</t>
        </is>
      </c>
      <c r="B13" s="14" t="n">
        <v>4</v>
      </c>
      <c r="C13" s="14" t="inlineStr">
        <is>
          <t>Likely billable</t>
        </is>
      </c>
      <c r="D13" s="17" t="n">
        <v>268.12</v>
      </c>
      <c r="E13" s="18">
        <f>IF(B13=0,0,D13/B13)</f>
        <v/>
      </c>
      <c r="F13" s="18">
        <f>D13*Invoice_Input!B10</f>
        <v/>
      </c>
      <c r="G13" s="18">
        <f>D13+F13</f>
        <v/>
      </c>
      <c r="H13" s="14" t="inlineStr">
        <is>
          <t>Pre-filled from Invoice INV-0303 (invoice-only SKU — not in admin export)</t>
        </is>
      </c>
      <c r="I13" s="14" t="n">
        <v>4</v>
      </c>
      <c r="J13" s="14" t="n">
        <v>0</v>
      </c>
      <c r="K13" s="19" t="inlineStr">
        <is>
          <t>Match</t>
        </is>
      </c>
    </row>
    <row r="14">
      <c r="A14" s="14" t="inlineStr">
        <is>
          <t>Dynamics 365 Customer Insights Self-Service</t>
        </is>
      </c>
      <c r="B14" s="14" t="n">
        <v>3</v>
      </c>
      <c r="C14" s="14" t="inlineStr">
        <is>
          <t>Likely billable</t>
        </is>
      </c>
      <c r="D14" s="17" t="n">
        <v>0</v>
      </c>
      <c r="E14" s="18">
        <f>IF(B14=0,0,D14/B14)</f>
        <v/>
      </c>
      <c r="F14" s="18">
        <f>D14*Invoice_Input!B10</f>
        <v/>
      </c>
      <c r="G14" s="18">
        <f>D14+F14</f>
        <v/>
      </c>
      <c r="H14" s="14" t="inlineStr">
        <is>
          <t>Enter the excl-VAT invoice amount for this SKU line item</t>
        </is>
      </c>
      <c r="I14" s="14" t="inlineStr">
        <is>
          <t>N/A</t>
        </is>
      </c>
      <c r="J14" s="14" t="inlineStr">
        <is>
          <t>N/A</t>
        </is>
      </c>
      <c r="K14" s="14" t="inlineStr">
        <is>
          <t>Not on invoice (free/trial)</t>
        </is>
      </c>
    </row>
    <row r="15">
      <c r="A15" s="14" t="inlineStr">
        <is>
          <t>Power Apps per app plan (1 app or website)</t>
        </is>
      </c>
      <c r="B15" s="14" t="n">
        <v>3</v>
      </c>
      <c r="C15" s="14" t="inlineStr">
        <is>
          <t>Likely billable</t>
        </is>
      </c>
      <c r="D15" s="17" t="n">
        <v>251.37</v>
      </c>
      <c r="E15" s="18">
        <f>IF(B15=0,0,D15/B15)</f>
        <v/>
      </c>
      <c r="F15" s="18">
        <f>D15*Invoice_Input!B10</f>
        <v/>
      </c>
      <c r="G15" s="18">
        <f>D15+F15</f>
        <v/>
      </c>
      <c r="H15" s="14" t="inlineStr">
        <is>
          <t>Pre-filled from Invoice INV-0303 (invoice-only SKU — not in admin export)</t>
        </is>
      </c>
      <c r="I15" s="14" t="n">
        <v>3</v>
      </c>
      <c r="J15" s="20" t="n">
        <v>-3</v>
      </c>
      <c r="K15" s="16" t="inlineStr">
        <is>
          <t>Invoice has 3 more — users may have been removed after billing</t>
        </is>
      </c>
    </row>
    <row r="16">
      <c r="A16" s="14" t="inlineStr">
        <is>
          <t>Power Automate per user plan</t>
        </is>
      </c>
      <c r="B16" s="14" t="n">
        <v>1</v>
      </c>
      <c r="C16" s="14" t="inlineStr">
        <is>
          <t>Likely billable</t>
        </is>
      </c>
      <c r="D16" s="17" t="n">
        <v>251.37</v>
      </c>
      <c r="E16" s="18">
        <f>IF(B16=0,0,D16/B16)</f>
        <v/>
      </c>
      <c r="F16" s="18">
        <f>D16*Invoice_Input!B10</f>
        <v/>
      </c>
      <c r="G16" s="18">
        <f>D16+F16</f>
        <v/>
      </c>
      <c r="H16" s="14" t="inlineStr">
        <is>
          <t>Pre-filled from Invoice INV-0303 (invoice-only SKU — not in admin export)</t>
        </is>
      </c>
      <c r="I16" s="14" t="n">
        <v>1</v>
      </c>
      <c r="J16" s="14" t="n">
        <v>0</v>
      </c>
      <c r="K16" s="19" t="inlineStr">
        <is>
          <t>Match</t>
        </is>
      </c>
    </row>
    <row r="17">
      <c r="A17" s="22" t="inlineStr">
        <is>
          <t>TOTAL</t>
        </is>
      </c>
      <c r="B17" s="22">
        <f>SUM(B2:B16)</f>
        <v/>
      </c>
      <c r="C17" s="23" t="n"/>
      <c r="D17" s="24">
        <f>SUM(D2:D16)</f>
        <v/>
      </c>
      <c r="E17" s="22" t="inlineStr"/>
      <c r="F17" s="24">
        <f>SUM(F2:F16)</f>
        <v/>
      </c>
      <c r="G17" s="24">
        <f>SUM(G2:G16)</f>
        <v/>
      </c>
      <c r="H17" s="23" t="n"/>
      <c r="I17" s="22" t="n">
        <v>280</v>
      </c>
      <c r="J17" s="23" t="n"/>
      <c r="K17" s="23" t="n"/>
    </row>
    <row r="18"/>
    <row r="19">
      <c r="A19" s="25" t="inlineStr">
        <is>
          <t>RECONCILIATION CHECK</t>
        </is>
      </c>
      <c r="C19" s="26" t="inlineStr">
        <is>
          <t>Invoice excl VAT</t>
        </is>
      </c>
      <c r="D19" s="27">
        <f>Invoice_Input!B11</f>
        <v/>
      </c>
    </row>
    <row r="20">
      <c r="C20" s="26" t="inlineStr">
        <is>
          <t>SKU Total excl VAT</t>
        </is>
      </c>
      <c r="D20" s="27">
        <f>D17</f>
        <v/>
      </c>
    </row>
    <row r="21">
      <c r="C21" s="28" t="inlineStr">
        <is>
          <t>Variance</t>
        </is>
      </c>
      <c r="D21" s="29">
        <f>D19-D20</f>
        <v/>
      </c>
    </row>
    <row r="22">
      <c r="C22" s="26" t="inlineStr">
        <is>
          <t>Status</t>
        </is>
      </c>
      <c r="D22" s="30">
        <f>IF(ABS(D21)&lt;0.01,"PASS - Reconciled","FAIL - Check SKU amounts")</f>
        <v/>
      </c>
    </row>
    <row r="23"/>
    <row r="24"/>
    <row r="25">
      <c r="A25" s="28" t="inlineStr">
        <is>
          <t>QUANTITY DISCREPANCY: Invoice vs Admin Export</t>
        </is>
      </c>
    </row>
    <row r="26">
      <c r="A26" s="3" t="inlineStr">
        <is>
          <t>SKUs where the invoice quantity differs from the Admin Centre user count. Investigate and rectify before finalising allocation.</t>
        </is>
      </c>
    </row>
    <row r="27">
      <c r="A27" s="13" t="inlineStr">
        <is>
          <t>SKU</t>
        </is>
      </c>
      <c r="B27" s="13" t="inlineStr">
        <is>
          <t>Admin Users</t>
        </is>
      </c>
      <c r="C27" s="13" t="inlineStr">
        <is>
          <t>Invoice Qty</t>
        </is>
      </c>
      <c r="D27" s="13" t="inlineStr">
        <is>
          <t>Variance</t>
        </is>
      </c>
      <c r="E27" s="13" t="inlineStr">
        <is>
          <t>Impact</t>
        </is>
      </c>
      <c r="F27" s="13" t="inlineStr">
        <is>
          <t>Action Required</t>
        </is>
      </c>
    </row>
    <row r="28">
      <c r="A28" s="16" t="inlineStr">
        <is>
          <t>Microsoft 365 Business Standard</t>
        </is>
      </c>
      <c r="B28" s="16" t="n">
        <v>100</v>
      </c>
      <c r="C28" s="16" t="n">
        <v>97</v>
      </c>
      <c r="D28" s="20" t="n">
        <v>3</v>
      </c>
      <c r="E28" s="16" t="inlineStr">
        <is>
          <t>Admin has 3 more user(s) — cost per user is lower than invoiced unit price</t>
        </is>
      </c>
      <c r="F28" s="16" t="inlineStr">
        <is>
          <t>Check if user(s) were added after the invoice billing date (25/03/2026)</t>
        </is>
      </c>
    </row>
    <row r="29">
      <c r="A29" s="16" t="inlineStr">
        <is>
          <t>Microsoft 365 Business Premium</t>
        </is>
      </c>
      <c r="B29" s="16" t="n">
        <v>21</v>
      </c>
      <c r="C29" s="16" t="n">
        <v>23</v>
      </c>
      <c r="D29" s="20" t="n">
        <v>-2</v>
      </c>
      <c r="E29" s="16" t="inlineStr">
        <is>
          <t>Invoice bills 2 more user(s) — paying for user(s) not in admin export</t>
        </is>
      </c>
      <c r="F29" s="16" t="inlineStr">
        <is>
          <t>Check if user(s) were removed after billing — confirm with COITE/Microsoft</t>
        </is>
      </c>
    </row>
    <row r="30">
      <c r="A30" s="16" t="inlineStr">
        <is>
          <t>Microsoft 365 E3</t>
        </is>
      </c>
      <c r="B30" s="16" t="n">
        <v>14</v>
      </c>
      <c r="C30" s="16" t="n">
        <v>15</v>
      </c>
      <c r="D30" s="20" t="n">
        <v>-1</v>
      </c>
      <c r="E30" s="16" t="inlineStr">
        <is>
          <t>Invoice bills 1 more user(s) — paying for user(s) not in admin export</t>
        </is>
      </c>
      <c r="F30" s="16" t="inlineStr">
        <is>
          <t>Check if user(s) were removed after billing — confirm with COITE/Microsoft</t>
        </is>
      </c>
    </row>
    <row r="31">
      <c r="A31" s="16" t="inlineStr">
        <is>
          <t>Power BI Premium Per User</t>
        </is>
      </c>
      <c r="B31" s="16" t="n">
        <v>6</v>
      </c>
      <c r="C31" s="16" t="n">
        <v>7</v>
      </c>
      <c r="D31" s="20" t="n">
        <v>-1</v>
      </c>
      <c r="E31" s="16" t="inlineStr">
        <is>
          <t>Invoice bills 1 more user(s) — paying for user(s) not in admin export</t>
        </is>
      </c>
      <c r="F31" s="16" t="inlineStr">
        <is>
          <t>Check if user(s) were removed after billing — confirm with COITE/Microsoft</t>
        </is>
      </c>
    </row>
    <row r="32">
      <c r="A32" s="16" t="inlineStr">
        <is>
          <t>Power Apps per app plan (1 app or website)</t>
        </is>
      </c>
      <c r="B32" s="16" t="n">
        <v>0</v>
      </c>
      <c r="C32" s="16" t="n">
        <v>3</v>
      </c>
      <c r="D32" s="20" t="n">
        <v>-3</v>
      </c>
      <c r="E32" s="16" t="inlineStr">
        <is>
          <t>Invoice bills 3 more user(s) — paying for user(s) not in admin export</t>
        </is>
      </c>
      <c r="F32" s="16" t="inlineStr">
        <is>
          <t>Check if user(s) were removed after billing — confirm with COITE/Microsoft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16"/>
  <autoFilter ref="A1:K32"/>
  <conditionalFormatting sqref="D22">
    <cfRule type="expression" priority="1" dxfId="0">
      <formula>LEFT(D22,4)="PASS"</formula>
    </cfRule>
    <cfRule type="expression" priority="2" dxfId="1">
      <formula>LEFT(D22,4)="FAIL"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N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5" customWidth="1" min="2" max="2"/>
    <col width="13" customWidth="1" min="3" max="3"/>
    <col width="18" customWidth="1" min="4" max="4"/>
    <col width="20" customWidth="1" min="5" max="5"/>
    <col width="18" customWidth="1" min="6" max="6"/>
    <col width="45" customWidth="1" min="7" max="7"/>
    <col width="22" customWidth="1" min="8" max="8"/>
    <col width="25" customWidth="1" min="9" max="9"/>
    <col width="22" customWidth="1" min="10" max="10"/>
    <col width="15" customWidth="1" min="11" max="11"/>
    <col width="17" customWidth="1" min="12" max="12"/>
    <col width="45" customWidth="1" min="13" max="13"/>
    <col width="45" customWidth="1" min="14" max="14"/>
  </cols>
  <sheetData>
    <row r="1">
      <c r="A1" s="13" t="inlineStr">
        <is>
          <t>Licensed Email</t>
        </is>
      </c>
      <c r="B1" s="13" t="inlineStr">
        <is>
          <t>Licensed Display Name</t>
        </is>
      </c>
      <c r="C1" s="13" t="inlineStr">
        <is>
          <t>Division</t>
        </is>
      </c>
      <c r="D1" s="13" t="inlineStr">
        <is>
          <t>Employee Number</t>
        </is>
      </c>
      <c r="E1" s="13" t="inlineStr">
        <is>
          <t>Match Status</t>
        </is>
      </c>
      <c r="F1" s="13" t="inlineStr">
        <is>
          <t>Review Required</t>
        </is>
      </c>
      <c r="G1" s="13" t="inlineStr">
        <is>
          <t>SKU</t>
        </is>
      </c>
      <c r="H1" s="13" t="inlineStr">
        <is>
          <t>Billing Hint</t>
        </is>
      </c>
      <c r="I1" s="13" t="inlineStr">
        <is>
          <t>Monthly Invoice Amount</t>
        </is>
      </c>
      <c r="J1" s="13" t="inlineStr">
        <is>
          <t>Active Users on SKU</t>
        </is>
      </c>
      <c r="K1" s="13" t="inlineStr">
        <is>
          <t>Unit Cost</t>
        </is>
      </c>
      <c r="L1" s="13" t="inlineStr">
        <is>
          <t>Allocated Cost</t>
        </is>
      </c>
      <c r="M1" s="13" t="inlineStr">
        <is>
          <t>Mapping Note</t>
        </is>
      </c>
      <c r="N1" s="13" t="inlineStr">
        <is>
          <t>Optimisation Flag</t>
        </is>
      </c>
    </row>
    <row r="2">
      <c r="A2" s="14" t="inlineStr">
        <is>
          <t>admin@WearCheckRS.com</t>
        </is>
      </c>
      <c r="B2" s="14" t="inlineStr">
        <is>
          <t>Admin</t>
        </is>
      </c>
      <c r="C2" s="14" t="inlineStr">
        <is>
          <t>RS</t>
        </is>
      </c>
      <c r="D2" s="14" t="n"/>
      <c r="E2" s="14" t="inlineStr">
        <is>
          <t>Mapped by rule</t>
        </is>
      </c>
      <c r="F2" s="14" t="inlineStr">
        <is>
          <t>No</t>
        </is>
      </c>
      <c r="G2" s="14" t="inlineStr">
        <is>
          <t>Microsoft Defender for Office 365 (Plan 2)</t>
        </is>
      </c>
      <c r="H2" s="14" t="inlineStr">
        <is>
          <t>Likely billable</t>
        </is>
      </c>
      <c r="I2" s="18">
        <f>IFERROR(VLOOKUP(G2,SKU_Cost_Input!$A$2:$E$16,4,FALSE),0)</f>
        <v/>
      </c>
      <c r="J2" s="14">
        <f>IFERROR(VLOOKUP(G2,SKU_Cost_Input!$A$2:$E$16,2,FALSE),0)</f>
        <v/>
      </c>
      <c r="K2" s="18">
        <f>IF(J2=0,0,I2/J2)</f>
        <v/>
      </c>
      <c r="L2" s="18">
        <f>K2</f>
        <v/>
      </c>
      <c r="M2" s="14" t="inlineStr">
        <is>
          <t>Generic/shared/service account defaulted to RS per instruction</t>
        </is>
      </c>
      <c r="N2" s="14" t="inlineStr"/>
    </row>
    <row r="3">
      <c r="A3" s="14" t="inlineStr">
        <is>
          <t>admin@WearCheckRS.com</t>
        </is>
      </c>
      <c r="B3" s="14" t="inlineStr">
        <is>
          <t>Admin</t>
        </is>
      </c>
      <c r="C3" s="14" t="inlineStr">
        <is>
          <t>RS</t>
        </is>
      </c>
      <c r="D3" s="14" t="n"/>
      <c r="E3" s="14" t="inlineStr">
        <is>
          <t>Mapped by rule</t>
        </is>
      </c>
      <c r="F3" s="14" t="inlineStr">
        <is>
          <t>No</t>
        </is>
      </c>
      <c r="G3" s="14" t="inlineStr">
        <is>
          <t>Microsoft Fabric (Free)</t>
        </is>
      </c>
      <c r="H3" s="14" t="inlineStr">
        <is>
          <t>Likely free / trial</t>
        </is>
      </c>
      <c r="I3" s="18">
        <f>IFERROR(VLOOKUP(G3,SKU_Cost_Input!$A$2:$E$16,4,FALSE),0)</f>
        <v/>
      </c>
      <c r="J3" s="14">
        <f>IFERROR(VLOOKUP(G3,SKU_Cost_Input!$A$2:$E$16,2,FALSE),0)</f>
        <v/>
      </c>
      <c r="K3" s="18">
        <f>IF(J3=0,0,I3/J3)</f>
        <v/>
      </c>
      <c r="L3" s="18">
        <f>K3</f>
        <v/>
      </c>
      <c r="M3" s="14" t="inlineStr">
        <is>
          <t>Generic/shared/service account defaulted to RS per instruction</t>
        </is>
      </c>
      <c r="N3" s="14" t="inlineStr"/>
    </row>
    <row r="4">
      <c r="A4" s="14" t="inlineStr">
        <is>
          <t>admin@WearCheckRS.com</t>
        </is>
      </c>
      <c r="B4" s="14" t="inlineStr">
        <is>
          <t>Admin</t>
        </is>
      </c>
      <c r="C4" s="14" t="inlineStr">
        <is>
          <t>RS</t>
        </is>
      </c>
      <c r="D4" s="14" t="n"/>
      <c r="E4" s="14" t="inlineStr">
        <is>
          <t>Mapped by rule</t>
        </is>
      </c>
      <c r="F4" s="14" t="inlineStr">
        <is>
          <t>No</t>
        </is>
      </c>
      <c r="G4" s="14" t="inlineStr">
        <is>
          <t>Microsoft 365 E3</t>
        </is>
      </c>
      <c r="H4" s="14" t="inlineStr">
        <is>
          <t>Likely billable</t>
        </is>
      </c>
      <c r="I4" s="18">
        <f>IFERROR(VLOOKUP(G4,SKU_Cost_Input!$A$2:$E$16,4,FALSE),0)</f>
        <v/>
      </c>
      <c r="J4" s="14">
        <f>IFERROR(VLOOKUP(G4,SKU_Cost_Input!$A$2:$E$16,2,FALSE),0)</f>
        <v/>
      </c>
      <c r="K4" s="18">
        <f>IF(J4=0,0,I4/J4)</f>
        <v/>
      </c>
      <c r="L4" s="18">
        <f>K4</f>
        <v/>
      </c>
      <c r="M4" s="14" t="inlineStr">
        <is>
          <t>Generic/shared/service account defaulted to RS per instruction</t>
        </is>
      </c>
      <c r="N4" s="14" t="inlineStr">
        <is>
          <t>Review: E3 may be downgradeable to E1 or Business Basic</t>
        </is>
      </c>
    </row>
    <row r="5">
      <c r="A5" s="14" t="inlineStr">
        <is>
          <t>A.Ludick@WearCheckRS.com</t>
        </is>
      </c>
      <c r="B5" s="14" t="inlineStr">
        <is>
          <t>Adri Ludick</t>
        </is>
      </c>
      <c r="C5" s="14" t="inlineStr">
        <is>
          <t>RS</t>
        </is>
      </c>
      <c r="D5" s="14" t="inlineStr">
        <is>
          <t>WC492</t>
        </is>
      </c>
      <c r="E5" s="14" t="inlineStr">
        <is>
          <t>Matched</t>
        </is>
      </c>
      <c r="F5" s="14" t="inlineStr">
        <is>
          <t>No</t>
        </is>
      </c>
      <c r="G5" s="14" t="inlineStr">
        <is>
          <t>Microsoft 365 Business Premium</t>
        </is>
      </c>
      <c r="H5" s="14" t="inlineStr">
        <is>
          <t>Likely billable</t>
        </is>
      </c>
      <c r="I5" s="18">
        <f>IFERROR(VLOOKUP(G5,SKU_Cost_Input!$A$2:$E$16,4,FALSE),0)</f>
        <v/>
      </c>
      <c r="J5" s="14">
        <f>IFERROR(VLOOKUP(G5,SKU_Cost_Input!$A$2:$E$16,2,FALSE),0)</f>
        <v/>
      </c>
      <c r="K5" s="18">
        <f>IF(J5=0,0,I5/J5)</f>
        <v/>
      </c>
      <c r="L5" s="18">
        <f>K5</f>
        <v/>
      </c>
      <c r="M5" s="14" t="inlineStr">
        <is>
          <t>Exact company email match</t>
        </is>
      </c>
      <c r="N5" s="14" t="inlineStr">
        <is>
          <t>Review: Business Premium — consider Business Basic/Standard</t>
        </is>
      </c>
    </row>
    <row r="6">
      <c r="A6" s="14" t="inlineStr">
        <is>
          <t>A.Ludick@WearCheckRS.com</t>
        </is>
      </c>
      <c r="B6" s="14" t="inlineStr">
        <is>
          <t>Adri Ludick</t>
        </is>
      </c>
      <c r="C6" s="14" t="inlineStr">
        <is>
          <t>RS</t>
        </is>
      </c>
      <c r="D6" s="14" t="inlineStr">
        <is>
          <t>WC492</t>
        </is>
      </c>
      <c r="E6" s="14" t="inlineStr">
        <is>
          <t>Matched</t>
        </is>
      </c>
      <c r="F6" s="14" t="inlineStr">
        <is>
          <t>No</t>
        </is>
      </c>
      <c r="G6" s="14" t="inlineStr">
        <is>
          <t>Microsoft Copilot Studio Viral Trial</t>
        </is>
      </c>
      <c r="H6" s="14" t="inlineStr">
        <is>
          <t>Likely free / trial</t>
        </is>
      </c>
      <c r="I6" s="18">
        <f>IFERROR(VLOOKUP(G6,SKU_Cost_Input!$A$2:$E$16,4,FALSE),0)</f>
        <v/>
      </c>
      <c r="J6" s="14">
        <f>IFERROR(VLOOKUP(G6,SKU_Cost_Input!$A$2:$E$16,2,FALSE),0)</f>
        <v/>
      </c>
      <c r="K6" s="18">
        <f>IF(J6=0,0,I6/J6)</f>
        <v/>
      </c>
      <c r="L6" s="18">
        <f>K6</f>
        <v/>
      </c>
      <c r="M6" s="14" t="inlineStr">
        <is>
          <t>Exact company email match</t>
        </is>
      </c>
      <c r="N6" s="14" t="inlineStr"/>
    </row>
    <row r="7">
      <c r="A7" s="14" t="inlineStr">
        <is>
          <t>A.Ludick@WearCheckRS.com</t>
        </is>
      </c>
      <c r="B7" s="14" t="inlineStr">
        <is>
          <t>Adri Ludick</t>
        </is>
      </c>
      <c r="C7" s="14" t="inlineStr">
        <is>
          <t>RS</t>
        </is>
      </c>
      <c r="D7" s="14" t="inlineStr">
        <is>
          <t>WC492</t>
        </is>
      </c>
      <c r="E7" s="14" t="inlineStr">
        <is>
          <t>Matched</t>
        </is>
      </c>
      <c r="F7" s="14" t="inlineStr">
        <is>
          <t>No</t>
        </is>
      </c>
      <c r="G7" s="14" t="inlineStr">
        <is>
          <t>Microsoft Defender for Office 365 (Plan 2)</t>
        </is>
      </c>
      <c r="H7" s="14" t="inlineStr">
        <is>
          <t>Likely billable</t>
        </is>
      </c>
      <c r="I7" s="18">
        <f>IFERROR(VLOOKUP(G7,SKU_Cost_Input!$A$2:$E$16,4,FALSE),0)</f>
        <v/>
      </c>
      <c r="J7" s="14">
        <f>IFERROR(VLOOKUP(G7,SKU_Cost_Input!$A$2:$E$16,2,FALSE),0)</f>
        <v/>
      </c>
      <c r="K7" s="18">
        <f>IF(J7=0,0,I7/J7)</f>
        <v/>
      </c>
      <c r="L7" s="18">
        <f>K7</f>
        <v/>
      </c>
      <c r="M7" s="14" t="inlineStr">
        <is>
          <t>Exact company email match</t>
        </is>
      </c>
      <c r="N7" s="14" t="inlineStr"/>
    </row>
    <row r="8">
      <c r="A8" s="14" t="inlineStr">
        <is>
          <t>A.Ludick@WearCheckRS.com</t>
        </is>
      </c>
      <c r="B8" s="14" t="inlineStr">
        <is>
          <t>Adri Ludick</t>
        </is>
      </c>
      <c r="C8" s="14" t="inlineStr">
        <is>
          <t>RS</t>
        </is>
      </c>
      <c r="D8" s="14" t="inlineStr">
        <is>
          <t>WC492</t>
        </is>
      </c>
      <c r="E8" s="14" t="inlineStr">
        <is>
          <t>Matched</t>
        </is>
      </c>
      <c r="F8" s="14" t="inlineStr">
        <is>
          <t>No</t>
        </is>
      </c>
      <c r="G8" s="14" t="inlineStr">
        <is>
          <t>Microsoft Power Automate Free</t>
        </is>
      </c>
      <c r="H8" s="14" t="inlineStr">
        <is>
          <t>Likely free / trial</t>
        </is>
      </c>
      <c r="I8" s="18">
        <f>IFERROR(VLOOKUP(G8,SKU_Cost_Input!$A$2:$E$16,4,FALSE),0)</f>
        <v/>
      </c>
      <c r="J8" s="14">
        <f>IFERROR(VLOOKUP(G8,SKU_Cost_Input!$A$2:$E$16,2,FALSE),0)</f>
        <v/>
      </c>
      <c r="K8" s="18">
        <f>IF(J8=0,0,I8/J8)</f>
        <v/>
      </c>
      <c r="L8" s="18">
        <f>K8</f>
        <v/>
      </c>
      <c r="M8" s="14" t="inlineStr">
        <is>
          <t>Exact company email match</t>
        </is>
      </c>
      <c r="N8" s="14" t="inlineStr"/>
    </row>
    <row r="9">
      <c r="A9" s="14" t="inlineStr">
        <is>
          <t>Adri.ludick@WearCheckRS.com</t>
        </is>
      </c>
      <c r="B9" s="14" t="inlineStr">
        <is>
          <t>Adri Ludick Old</t>
        </is>
      </c>
      <c r="C9" s="14" t="inlineStr">
        <is>
          <t>RS</t>
        </is>
      </c>
      <c r="D9" s="14" t="inlineStr"/>
      <c r="E9" s="14" t="inlineStr">
        <is>
          <t>Ex-Employee</t>
        </is>
      </c>
      <c r="F9" s="14" t="inlineStr">
        <is>
          <t>No</t>
        </is>
      </c>
      <c r="G9" s="14" t="inlineStr">
        <is>
          <t>Microsoft Defender for Office 365 (Plan 2)</t>
        </is>
      </c>
      <c r="H9" s="14" t="inlineStr">
        <is>
          <t>Likely billable</t>
        </is>
      </c>
      <c r="I9" s="18">
        <f>IFERROR(VLOOKUP(G9,SKU_Cost_Input!$A$2:$E$16,4,FALSE),0)</f>
        <v/>
      </c>
      <c r="J9" s="14">
        <f>IFERROR(VLOOKUP(G9,SKU_Cost_Input!$A$2:$E$16,2,FALSE),0)</f>
        <v/>
      </c>
      <c r="K9" s="18">
        <f>IF(J9=0,0,I9/J9)</f>
        <v/>
      </c>
      <c r="L9" s="18">
        <f>K9</f>
        <v/>
      </c>
      <c r="M9" s="14" t="inlineStr">
        <is>
          <t>Old account — new email A.Ludick@WearCheckRS.com is active. FLAG: Remove this licence.</t>
        </is>
      </c>
      <c r="N9" s="14" t="inlineStr"/>
    </row>
    <row r="10">
      <c r="A10" s="14" t="inlineStr">
        <is>
          <t>Adri.ludick@WearCheckRS.com</t>
        </is>
      </c>
      <c r="B10" s="14" t="inlineStr">
        <is>
          <t>Adri Ludick Old</t>
        </is>
      </c>
      <c r="C10" s="14" t="inlineStr">
        <is>
          <t>RS</t>
        </is>
      </c>
      <c r="D10" s="14" t="inlineStr"/>
      <c r="E10" s="14" t="inlineStr">
        <is>
          <t>Ex-Employee</t>
        </is>
      </c>
      <c r="F10" s="14" t="inlineStr">
        <is>
          <t>No</t>
        </is>
      </c>
      <c r="G10" s="14" t="inlineStr">
        <is>
          <t>Microsoft Power Automate Free</t>
        </is>
      </c>
      <c r="H10" s="14" t="inlineStr">
        <is>
          <t>Likely free / trial</t>
        </is>
      </c>
      <c r="I10" s="18">
        <f>IFERROR(VLOOKUP(G10,SKU_Cost_Input!$A$2:$E$16,4,FALSE),0)</f>
        <v/>
      </c>
      <c r="J10" s="14">
        <f>IFERROR(VLOOKUP(G10,SKU_Cost_Input!$A$2:$E$16,2,FALSE),0)</f>
        <v/>
      </c>
      <c r="K10" s="18">
        <f>IF(J10=0,0,I10/J10)</f>
        <v/>
      </c>
      <c r="L10" s="18">
        <f>K10</f>
        <v/>
      </c>
      <c r="M10" s="14" t="inlineStr">
        <is>
          <t>Old account — new email A.Ludick@WearCheckRS.com is active. FLAG: Remove this licence.</t>
        </is>
      </c>
      <c r="N10" s="14" t="inlineStr"/>
    </row>
    <row r="11">
      <c r="A11" s="14" t="inlineStr">
        <is>
          <t>Adri.ludick@WearCheckRS.com</t>
        </is>
      </c>
      <c r="B11" s="14" t="inlineStr">
        <is>
          <t>Adri Ludick Old</t>
        </is>
      </c>
      <c r="C11" s="14" t="inlineStr">
        <is>
          <t>RS</t>
        </is>
      </c>
      <c r="D11" s="14" t="inlineStr"/>
      <c r="E11" s="14" t="inlineStr">
        <is>
          <t>Ex-Employee</t>
        </is>
      </c>
      <c r="F11" s="14" t="inlineStr">
        <is>
          <t>No</t>
        </is>
      </c>
      <c r="G11" s="14" t="inlineStr">
        <is>
          <t>Microsoft 365 Business Standard</t>
        </is>
      </c>
      <c r="H11" s="14" t="inlineStr">
        <is>
          <t>Likely billable</t>
        </is>
      </c>
      <c r="I11" s="18">
        <f>IFERROR(VLOOKUP(G11,SKU_Cost_Input!$A$2:$E$16,4,FALSE),0)</f>
        <v/>
      </c>
      <c r="J11" s="14">
        <f>IFERROR(VLOOKUP(G11,SKU_Cost_Input!$A$2:$E$16,2,FALSE),0)</f>
        <v/>
      </c>
      <c r="K11" s="18">
        <f>IF(J11=0,0,I11/J11)</f>
        <v/>
      </c>
      <c r="L11" s="18">
        <f>K11</f>
        <v/>
      </c>
      <c r="M11" s="14" t="inlineStr">
        <is>
          <t>Old account — new email A.Ludick@WearCheckRS.com is active. FLAG: Remove this licence.</t>
        </is>
      </c>
      <c r="N11" s="14" t="inlineStr">
        <is>
          <t>Review: Business Standard — consider Business Basic if sufficient</t>
        </is>
      </c>
    </row>
    <row r="12">
      <c r="A12" s="14" t="inlineStr">
        <is>
          <t>adriaanb@WearCheckRS.com</t>
        </is>
      </c>
      <c r="B12" s="14" t="inlineStr">
        <is>
          <t>Adriaan Bouwer</t>
        </is>
      </c>
      <c r="C12" s="14" t="inlineStr">
        <is>
          <t>RS</t>
        </is>
      </c>
      <c r="D12" s="14" t="inlineStr">
        <is>
          <t>WC383</t>
        </is>
      </c>
      <c r="E12" s="14" t="inlineStr">
        <is>
          <t>Matched</t>
        </is>
      </c>
      <c r="F12" s="14" t="inlineStr">
        <is>
          <t>No</t>
        </is>
      </c>
      <c r="G12" s="14" t="inlineStr">
        <is>
          <t>Microsoft Defender for Office 365 (Plan 2)</t>
        </is>
      </c>
      <c r="H12" s="14" t="inlineStr">
        <is>
          <t>Likely billable</t>
        </is>
      </c>
      <c r="I12" s="18">
        <f>IFERROR(VLOOKUP(G12,SKU_Cost_Input!$A$2:$E$16,4,FALSE),0)</f>
        <v/>
      </c>
      <c r="J12" s="14">
        <f>IFERROR(VLOOKUP(G12,SKU_Cost_Input!$A$2:$E$16,2,FALSE),0)</f>
        <v/>
      </c>
      <c r="K12" s="18">
        <f>IF(J12=0,0,I12/J12)</f>
        <v/>
      </c>
      <c r="L12" s="18">
        <f>K12</f>
        <v/>
      </c>
      <c r="M12" s="14" t="inlineStr">
        <is>
          <t>Exact company email match</t>
        </is>
      </c>
      <c r="N12" s="14" t="inlineStr"/>
    </row>
    <row r="13">
      <c r="A13" s="14" t="inlineStr">
        <is>
          <t>adriaanb@WearCheckRS.com</t>
        </is>
      </c>
      <c r="B13" s="14" t="inlineStr">
        <is>
          <t>Adriaan Bouwer</t>
        </is>
      </c>
      <c r="C13" s="14" t="inlineStr">
        <is>
          <t>RS</t>
        </is>
      </c>
      <c r="D13" s="14" t="inlineStr">
        <is>
          <t>WC383</t>
        </is>
      </c>
      <c r="E13" s="14" t="inlineStr">
        <is>
          <t>Matched</t>
        </is>
      </c>
      <c r="F13" s="14" t="inlineStr">
        <is>
          <t>No</t>
        </is>
      </c>
      <c r="G13" s="14" t="inlineStr">
        <is>
          <t>Microsoft Power Automate Free</t>
        </is>
      </c>
      <c r="H13" s="14" t="inlineStr">
        <is>
          <t>Likely free / trial</t>
        </is>
      </c>
      <c r="I13" s="18">
        <f>IFERROR(VLOOKUP(G13,SKU_Cost_Input!$A$2:$E$16,4,FALSE),0)</f>
        <v/>
      </c>
      <c r="J13" s="14">
        <f>IFERROR(VLOOKUP(G13,SKU_Cost_Input!$A$2:$E$16,2,FALSE),0)</f>
        <v/>
      </c>
      <c r="K13" s="18">
        <f>IF(J13=0,0,I13/J13)</f>
        <v/>
      </c>
      <c r="L13" s="18">
        <f>K13</f>
        <v/>
      </c>
      <c r="M13" s="14" t="inlineStr">
        <is>
          <t>Exact company email match</t>
        </is>
      </c>
      <c r="N13" s="14" t="inlineStr"/>
    </row>
    <row r="14">
      <c r="A14" s="14" t="inlineStr">
        <is>
          <t>adriaanb@WearCheckRS.com</t>
        </is>
      </c>
      <c r="B14" s="14" t="inlineStr">
        <is>
          <t>Adriaan Bouwer</t>
        </is>
      </c>
      <c r="C14" s="14" t="inlineStr">
        <is>
          <t>RS</t>
        </is>
      </c>
      <c r="D14" s="14" t="inlineStr">
        <is>
          <t>WC383</t>
        </is>
      </c>
      <c r="E14" s="14" t="inlineStr">
        <is>
          <t>Matched</t>
        </is>
      </c>
      <c r="F14" s="14" t="inlineStr">
        <is>
          <t>No</t>
        </is>
      </c>
      <c r="G14" s="14" t="inlineStr">
        <is>
          <t>Microsoft 365 Business Standard</t>
        </is>
      </c>
      <c r="H14" s="14" t="inlineStr">
        <is>
          <t>Likely billable</t>
        </is>
      </c>
      <c r="I14" s="18">
        <f>IFERROR(VLOOKUP(G14,SKU_Cost_Input!$A$2:$E$16,4,FALSE),0)</f>
        <v/>
      </c>
      <c r="J14" s="14">
        <f>IFERROR(VLOOKUP(G14,SKU_Cost_Input!$A$2:$E$16,2,FALSE),0)</f>
        <v/>
      </c>
      <c r="K14" s="18">
        <f>IF(J14=0,0,I14/J14)</f>
        <v/>
      </c>
      <c r="L14" s="18">
        <f>K14</f>
        <v/>
      </c>
      <c r="M14" s="14" t="inlineStr">
        <is>
          <t>Exact company email match</t>
        </is>
      </c>
      <c r="N14" s="14" t="inlineStr">
        <is>
          <t>Review: Business Standard — consider Business Basic if sufficient</t>
        </is>
      </c>
    </row>
    <row r="15">
      <c r="A15" s="14" t="inlineStr">
        <is>
          <t>adriaanb@WearCheckRS.com</t>
        </is>
      </c>
      <c r="B15" s="14" t="inlineStr">
        <is>
          <t>Adriaan Bouwer</t>
        </is>
      </c>
      <c r="C15" s="14" t="inlineStr">
        <is>
          <t>RS</t>
        </is>
      </c>
      <c r="D15" s="14" t="inlineStr">
        <is>
          <t>WC383</t>
        </is>
      </c>
      <c r="E15" s="14" t="inlineStr">
        <is>
          <t>Matched</t>
        </is>
      </c>
      <c r="F15" s="14" t="inlineStr">
        <is>
          <t>No</t>
        </is>
      </c>
      <c r="G15" s="14" t="inlineStr">
        <is>
          <t>Microsoft Fabric (Free)</t>
        </is>
      </c>
      <c r="H15" s="14" t="inlineStr">
        <is>
          <t>Likely free / trial</t>
        </is>
      </c>
      <c r="I15" s="18">
        <f>IFERROR(VLOOKUP(G15,SKU_Cost_Input!$A$2:$E$16,4,FALSE),0)</f>
        <v/>
      </c>
      <c r="J15" s="14">
        <f>IFERROR(VLOOKUP(G15,SKU_Cost_Input!$A$2:$E$16,2,FALSE),0)</f>
        <v/>
      </c>
      <c r="K15" s="18">
        <f>IF(J15=0,0,I15/J15)</f>
        <v/>
      </c>
      <c r="L15" s="18">
        <f>K15</f>
        <v/>
      </c>
      <c r="M15" s="14" t="inlineStr">
        <is>
          <t>Exact company email match</t>
        </is>
      </c>
      <c r="N15" s="14" t="inlineStr"/>
    </row>
    <row r="16">
      <c r="A16" s="14" t="inlineStr">
        <is>
          <t>afs_app@WearCheckRS.com</t>
        </is>
      </c>
      <c r="B16" s="14" t="inlineStr">
        <is>
          <t>AFS Application</t>
        </is>
      </c>
      <c r="C16" s="14" t="inlineStr">
        <is>
          <t>AFS</t>
        </is>
      </c>
      <c r="D16" s="14" t="n"/>
      <c r="E16" s="14" t="inlineStr">
        <is>
          <t>Mapped by rule</t>
        </is>
      </c>
      <c r="F16" s="14" t="inlineStr">
        <is>
          <t>No</t>
        </is>
      </c>
      <c r="G16" s="14" t="inlineStr">
        <is>
          <t>Microsoft Power Automate Free</t>
        </is>
      </c>
      <c r="H16" s="14" t="inlineStr">
        <is>
          <t>Likely free / trial</t>
        </is>
      </c>
      <c r="I16" s="18">
        <f>IFERROR(VLOOKUP(G16,SKU_Cost_Input!$A$2:$E$16,4,FALSE),0)</f>
        <v/>
      </c>
      <c r="J16" s="14">
        <f>IFERROR(VLOOKUP(G16,SKU_Cost_Input!$A$2:$E$16,2,FALSE),0)</f>
        <v/>
      </c>
      <c r="K16" s="18">
        <f>IF(J16=0,0,I16/J16)</f>
        <v/>
      </c>
      <c r="L16" s="18">
        <f>K16</f>
        <v/>
      </c>
      <c r="M16" s="14" t="inlineStr">
        <is>
          <t>Generic/shared/service account defaulted to RS per instruction</t>
        </is>
      </c>
      <c r="N16" s="14" t="inlineStr"/>
    </row>
    <row r="17">
      <c r="A17" s="14" t="inlineStr">
        <is>
          <t>afs_app@WearCheckRS.com</t>
        </is>
      </c>
      <c r="B17" s="14" t="inlineStr">
        <is>
          <t>AFS Application</t>
        </is>
      </c>
      <c r="C17" s="14" t="inlineStr">
        <is>
          <t>AFS</t>
        </is>
      </c>
      <c r="D17" s="14" t="n"/>
      <c r="E17" s="14" t="inlineStr">
        <is>
          <t>Mapped by rule</t>
        </is>
      </c>
      <c r="F17" s="14" t="inlineStr">
        <is>
          <t>No</t>
        </is>
      </c>
      <c r="G17" s="14" t="inlineStr">
        <is>
          <t>Exchange Online (Plan 1)</t>
        </is>
      </c>
      <c r="H17" s="14" t="inlineStr">
        <is>
          <t>Likely billable</t>
        </is>
      </c>
      <c r="I17" s="18">
        <f>IFERROR(VLOOKUP(G17,SKU_Cost_Input!$A$2:$E$16,4,FALSE),0)</f>
        <v/>
      </c>
      <c r="J17" s="14">
        <f>IFERROR(VLOOKUP(G17,SKU_Cost_Input!$A$2:$E$16,2,FALSE),0)</f>
        <v/>
      </c>
      <c r="K17" s="18">
        <f>IF(J17=0,0,I17/J17)</f>
        <v/>
      </c>
      <c r="L17" s="18">
        <f>K17</f>
        <v/>
      </c>
      <c r="M17" s="14" t="inlineStr">
        <is>
          <t>Generic/shared/service account defaulted to RS per instruction</t>
        </is>
      </c>
      <c r="N17" s="14" t="inlineStr"/>
    </row>
    <row r="18">
      <c r="A18" s="14" t="inlineStr">
        <is>
          <t>Alex@WearCheckRS.com</t>
        </is>
      </c>
      <c r="B18" s="14" t="inlineStr">
        <is>
          <t>Alex Outram</t>
        </is>
      </c>
      <c r="C18" s="14" t="inlineStr">
        <is>
          <t>RS</t>
        </is>
      </c>
      <c r="D18" s="14" t="inlineStr">
        <is>
          <t>WEC105</t>
        </is>
      </c>
      <c r="E18" s="14" t="inlineStr">
        <is>
          <t>Matched</t>
        </is>
      </c>
      <c r="F18" s="14" t="inlineStr">
        <is>
          <t>No</t>
        </is>
      </c>
      <c r="G18" s="14" t="inlineStr">
        <is>
          <t>Microsoft Defender for Office 365 (Plan 2)</t>
        </is>
      </c>
      <c r="H18" s="14" t="inlineStr">
        <is>
          <t>Likely billable</t>
        </is>
      </c>
      <c r="I18" s="18">
        <f>IFERROR(VLOOKUP(G18,SKU_Cost_Input!$A$2:$E$16,4,FALSE),0)</f>
        <v/>
      </c>
      <c r="J18" s="14">
        <f>IFERROR(VLOOKUP(G18,SKU_Cost_Input!$A$2:$E$16,2,FALSE),0)</f>
        <v/>
      </c>
      <c r="K18" s="18">
        <f>IF(J18=0,0,I18/J18)</f>
        <v/>
      </c>
      <c r="L18" s="18">
        <f>K18</f>
        <v/>
      </c>
      <c r="M18" s="14" t="inlineStr">
        <is>
          <t>Exact company email match</t>
        </is>
      </c>
      <c r="N18" s="14" t="inlineStr"/>
    </row>
    <row r="19">
      <c r="A19" s="14" t="inlineStr">
        <is>
          <t>Alex@WearCheckRS.com</t>
        </is>
      </c>
      <c r="B19" s="14" t="inlineStr">
        <is>
          <t>Alex Outram</t>
        </is>
      </c>
      <c r="C19" s="14" t="inlineStr">
        <is>
          <t>RS</t>
        </is>
      </c>
      <c r="D19" s="14" t="inlineStr">
        <is>
          <t>WEC105</t>
        </is>
      </c>
      <c r="E19" s="14" t="inlineStr">
        <is>
          <t>Matched</t>
        </is>
      </c>
      <c r="F19" s="14" t="inlineStr">
        <is>
          <t>No</t>
        </is>
      </c>
      <c r="G19" s="14" t="inlineStr">
        <is>
          <t>Microsoft Power Automate Free</t>
        </is>
      </c>
      <c r="H19" s="14" t="inlineStr">
        <is>
          <t>Likely free / trial</t>
        </is>
      </c>
      <c r="I19" s="18">
        <f>IFERROR(VLOOKUP(G19,SKU_Cost_Input!$A$2:$E$16,4,FALSE),0)</f>
        <v/>
      </c>
      <c r="J19" s="14">
        <f>IFERROR(VLOOKUP(G19,SKU_Cost_Input!$A$2:$E$16,2,FALSE),0)</f>
        <v/>
      </c>
      <c r="K19" s="18">
        <f>IF(J19=0,0,I19/J19)</f>
        <v/>
      </c>
      <c r="L19" s="18">
        <f>K19</f>
        <v/>
      </c>
      <c r="M19" s="14" t="inlineStr">
        <is>
          <t>Exact company email match</t>
        </is>
      </c>
      <c r="N19" s="14" t="inlineStr"/>
    </row>
    <row r="20">
      <c r="A20" s="14" t="inlineStr">
        <is>
          <t>Alex@WearCheckRS.com</t>
        </is>
      </c>
      <c r="B20" s="14" t="inlineStr">
        <is>
          <t>Alex Outram</t>
        </is>
      </c>
      <c r="C20" s="14" t="inlineStr">
        <is>
          <t>RS</t>
        </is>
      </c>
      <c r="D20" s="14" t="inlineStr">
        <is>
          <t>WEC105</t>
        </is>
      </c>
      <c r="E20" s="14" t="inlineStr">
        <is>
          <t>Matched</t>
        </is>
      </c>
      <c r="F20" s="14" t="inlineStr">
        <is>
          <t>No</t>
        </is>
      </c>
      <c r="G20" s="14" t="inlineStr">
        <is>
          <t>Microsoft Fabric (Free)</t>
        </is>
      </c>
      <c r="H20" s="14" t="inlineStr">
        <is>
          <t>Likely free / trial</t>
        </is>
      </c>
      <c r="I20" s="18">
        <f>IFERROR(VLOOKUP(G20,SKU_Cost_Input!$A$2:$E$16,4,FALSE),0)</f>
        <v/>
      </c>
      <c r="J20" s="14">
        <f>IFERROR(VLOOKUP(G20,SKU_Cost_Input!$A$2:$E$16,2,FALSE),0)</f>
        <v/>
      </c>
      <c r="K20" s="18">
        <f>IF(J20=0,0,I20/J20)</f>
        <v/>
      </c>
      <c r="L20" s="18">
        <f>K20</f>
        <v/>
      </c>
      <c r="M20" s="14" t="inlineStr">
        <is>
          <t>Exact company email match</t>
        </is>
      </c>
      <c r="N20" s="14" t="inlineStr"/>
    </row>
    <row r="21">
      <c r="A21" s="14" t="inlineStr">
        <is>
          <t>Alex@WearCheckRS.com</t>
        </is>
      </c>
      <c r="B21" s="14" t="inlineStr">
        <is>
          <t>Alex Outram</t>
        </is>
      </c>
      <c r="C21" s="14" t="inlineStr">
        <is>
          <t>RS</t>
        </is>
      </c>
      <c r="D21" s="14" t="inlineStr">
        <is>
          <t>WEC105</t>
        </is>
      </c>
      <c r="E21" s="14" t="inlineStr">
        <is>
          <t>Matched</t>
        </is>
      </c>
      <c r="F21" s="14" t="inlineStr">
        <is>
          <t>No</t>
        </is>
      </c>
      <c r="G21" s="14" t="inlineStr">
        <is>
          <t>Microsoft 365 Business Standard</t>
        </is>
      </c>
      <c r="H21" s="14" t="inlineStr">
        <is>
          <t>Likely billable</t>
        </is>
      </c>
      <c r="I21" s="18">
        <f>IFERROR(VLOOKUP(G21,SKU_Cost_Input!$A$2:$E$16,4,FALSE),0)</f>
        <v/>
      </c>
      <c r="J21" s="14">
        <f>IFERROR(VLOOKUP(G21,SKU_Cost_Input!$A$2:$E$16,2,FALSE),0)</f>
        <v/>
      </c>
      <c r="K21" s="18">
        <f>IF(J21=0,0,I21/J21)</f>
        <v/>
      </c>
      <c r="L21" s="18">
        <f>K21</f>
        <v/>
      </c>
      <c r="M21" s="14" t="inlineStr">
        <is>
          <t>Exact company email match</t>
        </is>
      </c>
      <c r="N21" s="14" t="inlineStr">
        <is>
          <t>Review: Business Standard — consider Business Basic if sufficient</t>
        </is>
      </c>
    </row>
    <row r="22">
      <c r="A22" s="14" t="inlineStr">
        <is>
          <t>Allan@WearCheckRS.com</t>
        </is>
      </c>
      <c r="B22" s="14" t="inlineStr">
        <is>
          <t>Allan Stuurman</t>
        </is>
      </c>
      <c r="C22" s="14" t="inlineStr">
        <is>
          <t>RS</t>
        </is>
      </c>
      <c r="D22" s="14" t="inlineStr">
        <is>
          <t>WEC123</t>
        </is>
      </c>
      <c r="E22" s="14" t="inlineStr">
        <is>
          <t>Matched</t>
        </is>
      </c>
      <c r="F22" s="14" t="inlineStr">
        <is>
          <t>No</t>
        </is>
      </c>
      <c r="G22" s="14" t="inlineStr">
        <is>
          <t>Microsoft Defender for Office 365 (Plan 2)</t>
        </is>
      </c>
      <c r="H22" s="14" t="inlineStr">
        <is>
          <t>Likely billable</t>
        </is>
      </c>
      <c r="I22" s="18">
        <f>IFERROR(VLOOKUP(G22,SKU_Cost_Input!$A$2:$E$16,4,FALSE),0)</f>
        <v/>
      </c>
      <c r="J22" s="14">
        <f>IFERROR(VLOOKUP(G22,SKU_Cost_Input!$A$2:$E$16,2,FALSE),0)</f>
        <v/>
      </c>
      <c r="K22" s="18">
        <f>IF(J22=0,0,I22/J22)</f>
        <v/>
      </c>
      <c r="L22" s="18">
        <f>K22</f>
        <v/>
      </c>
      <c r="M22" s="14" t="inlineStr">
        <is>
          <t>Exact company email match</t>
        </is>
      </c>
      <c r="N22" s="14" t="inlineStr"/>
    </row>
    <row r="23">
      <c r="A23" s="14" t="inlineStr">
        <is>
          <t>Allan@WearCheckRS.com</t>
        </is>
      </c>
      <c r="B23" s="14" t="inlineStr">
        <is>
          <t>Allan Stuurman</t>
        </is>
      </c>
      <c r="C23" s="14" t="inlineStr">
        <is>
          <t>RS</t>
        </is>
      </c>
      <c r="D23" s="14" t="inlineStr">
        <is>
          <t>WEC123</t>
        </is>
      </c>
      <c r="E23" s="14" t="inlineStr">
        <is>
          <t>Matched</t>
        </is>
      </c>
      <c r="F23" s="14" t="inlineStr">
        <is>
          <t>No</t>
        </is>
      </c>
      <c r="G23" s="14" t="inlineStr">
        <is>
          <t>Microsoft 365 Business Standard</t>
        </is>
      </c>
      <c r="H23" s="14" t="inlineStr">
        <is>
          <t>Likely billable</t>
        </is>
      </c>
      <c r="I23" s="18">
        <f>IFERROR(VLOOKUP(G23,SKU_Cost_Input!$A$2:$E$16,4,FALSE),0)</f>
        <v/>
      </c>
      <c r="J23" s="14">
        <f>IFERROR(VLOOKUP(G23,SKU_Cost_Input!$A$2:$E$16,2,FALSE),0)</f>
        <v/>
      </c>
      <c r="K23" s="18">
        <f>IF(J23=0,0,I23/J23)</f>
        <v/>
      </c>
      <c r="L23" s="18">
        <f>K23</f>
        <v/>
      </c>
      <c r="M23" s="14" t="inlineStr">
        <is>
          <t>Exact company email match</t>
        </is>
      </c>
      <c r="N23" s="14" t="inlineStr">
        <is>
          <t>Review: Business Standard — consider Business Basic if sufficient</t>
        </is>
      </c>
    </row>
    <row r="24">
      <c r="A24" s="14" t="inlineStr">
        <is>
          <t>Andrew@wearcheckrs.com</t>
        </is>
      </c>
      <c r="B24" s="14" t="inlineStr">
        <is>
          <t>Andrew Robb</t>
        </is>
      </c>
      <c r="C24" s="14" t="inlineStr">
        <is>
          <t>RS</t>
        </is>
      </c>
      <c r="D24" s="14" t="inlineStr">
        <is>
          <t>WEC103</t>
        </is>
      </c>
      <c r="E24" s="14" t="inlineStr">
        <is>
          <t>Matched</t>
        </is>
      </c>
      <c r="F24" s="14" t="inlineStr">
        <is>
          <t>No</t>
        </is>
      </c>
      <c r="G24" s="14" t="inlineStr">
        <is>
          <t>Microsoft 365 Business Premium</t>
        </is>
      </c>
      <c r="H24" s="14" t="inlineStr">
        <is>
          <t>Likely billable</t>
        </is>
      </c>
      <c r="I24" s="18">
        <f>IFERROR(VLOOKUP(G24,SKU_Cost_Input!$A$2:$E$16,4,FALSE),0)</f>
        <v/>
      </c>
      <c r="J24" s="14">
        <f>IFERROR(VLOOKUP(G24,SKU_Cost_Input!$A$2:$E$16,2,FALSE),0)</f>
        <v/>
      </c>
      <c r="K24" s="18">
        <f>IF(J24=0,0,I24/J24)</f>
        <v/>
      </c>
      <c r="L24" s="18">
        <f>K24</f>
        <v/>
      </c>
      <c r="M24" s="14" t="inlineStr">
        <is>
          <t>Exact company email match</t>
        </is>
      </c>
      <c r="N24" s="14" t="inlineStr">
        <is>
          <t>Review: Business Premium — consider Business Basic/Standard</t>
        </is>
      </c>
    </row>
    <row r="25">
      <c r="A25" s="14" t="inlineStr">
        <is>
          <t>Andrew@wearcheckrs.com</t>
        </is>
      </c>
      <c r="B25" s="14" t="inlineStr">
        <is>
          <t>Andrew Robb</t>
        </is>
      </c>
      <c r="C25" s="14" t="inlineStr">
        <is>
          <t>RS</t>
        </is>
      </c>
      <c r="D25" s="14" t="inlineStr">
        <is>
          <t>WEC103</t>
        </is>
      </c>
      <c r="E25" s="14" t="inlineStr">
        <is>
          <t>Matched</t>
        </is>
      </c>
      <c r="F25" s="14" t="inlineStr">
        <is>
          <t>No</t>
        </is>
      </c>
      <c r="G25" s="14" t="inlineStr">
        <is>
          <t>Microsoft Defender for Office 365 (Plan 2)</t>
        </is>
      </c>
      <c r="H25" s="14" t="inlineStr">
        <is>
          <t>Likely billable</t>
        </is>
      </c>
      <c r="I25" s="18">
        <f>IFERROR(VLOOKUP(G25,SKU_Cost_Input!$A$2:$E$16,4,FALSE),0)</f>
        <v/>
      </c>
      <c r="J25" s="14">
        <f>IFERROR(VLOOKUP(G25,SKU_Cost_Input!$A$2:$E$16,2,FALSE),0)</f>
        <v/>
      </c>
      <c r="K25" s="18">
        <f>IF(J25=0,0,I25/J25)</f>
        <v/>
      </c>
      <c r="L25" s="18">
        <f>K25</f>
        <v/>
      </c>
      <c r="M25" s="14" t="inlineStr">
        <is>
          <t>Exact company email match</t>
        </is>
      </c>
      <c r="N25" s="14" t="inlineStr"/>
    </row>
    <row r="26">
      <c r="A26" s="14" t="inlineStr">
        <is>
          <t>Andrew@wearcheckrs.com</t>
        </is>
      </c>
      <c r="B26" s="14" t="inlineStr">
        <is>
          <t>Andrew Robb</t>
        </is>
      </c>
      <c r="C26" s="14" t="inlineStr">
        <is>
          <t>RS</t>
        </is>
      </c>
      <c r="D26" s="14" t="inlineStr">
        <is>
          <t>WEC103</t>
        </is>
      </c>
      <c r="E26" s="14" t="inlineStr">
        <is>
          <t>Matched</t>
        </is>
      </c>
      <c r="F26" s="14" t="inlineStr">
        <is>
          <t>No</t>
        </is>
      </c>
      <c r="G26" s="14" t="inlineStr">
        <is>
          <t>Microsoft Fabric (Free)</t>
        </is>
      </c>
      <c r="H26" s="14" t="inlineStr">
        <is>
          <t>Likely free / trial</t>
        </is>
      </c>
      <c r="I26" s="18">
        <f>IFERROR(VLOOKUP(G26,SKU_Cost_Input!$A$2:$E$16,4,FALSE),0)</f>
        <v/>
      </c>
      <c r="J26" s="14">
        <f>IFERROR(VLOOKUP(G26,SKU_Cost_Input!$A$2:$E$16,2,FALSE),0)</f>
        <v/>
      </c>
      <c r="K26" s="18">
        <f>IF(J26=0,0,I26/J26)</f>
        <v/>
      </c>
      <c r="L26" s="18">
        <f>K26</f>
        <v/>
      </c>
      <c r="M26" s="14" t="inlineStr">
        <is>
          <t>Exact company email match</t>
        </is>
      </c>
      <c r="N26" s="14" t="inlineStr"/>
    </row>
    <row r="27">
      <c r="A27" s="14" t="inlineStr">
        <is>
          <t>annahm@WearCheckRS.com</t>
        </is>
      </c>
      <c r="B27" s="14" t="inlineStr">
        <is>
          <t>Annah Modutwane</t>
        </is>
      </c>
      <c r="C27" s="14" t="inlineStr">
        <is>
          <t>RS</t>
        </is>
      </c>
      <c r="D27" s="14" t="inlineStr">
        <is>
          <t>WC484</t>
        </is>
      </c>
      <c r="E27" s="14" t="inlineStr">
        <is>
          <t>Matched</t>
        </is>
      </c>
      <c r="F27" s="14" t="inlineStr">
        <is>
          <t>No</t>
        </is>
      </c>
      <c r="G27" s="14" t="inlineStr">
        <is>
          <t>Microsoft Defender for Office 365 (Plan 2)</t>
        </is>
      </c>
      <c r="H27" s="14" t="inlineStr">
        <is>
          <t>Likely billable</t>
        </is>
      </c>
      <c r="I27" s="18">
        <f>IFERROR(VLOOKUP(G27,SKU_Cost_Input!$A$2:$E$16,4,FALSE),0)</f>
        <v/>
      </c>
      <c r="J27" s="14">
        <f>IFERROR(VLOOKUP(G27,SKU_Cost_Input!$A$2:$E$16,2,FALSE),0)</f>
        <v/>
      </c>
      <c r="K27" s="18">
        <f>IF(J27=0,0,I27/J27)</f>
        <v/>
      </c>
      <c r="L27" s="18">
        <f>K27</f>
        <v/>
      </c>
      <c r="M27" s="14" t="inlineStr">
        <is>
          <t>Exact company email match</t>
        </is>
      </c>
      <c r="N27" s="14" t="inlineStr"/>
    </row>
    <row r="28">
      <c r="A28" s="14" t="inlineStr">
        <is>
          <t>annahm@WearCheckRS.com</t>
        </is>
      </c>
      <c r="B28" s="14" t="inlineStr">
        <is>
          <t>Annah Modutwane</t>
        </is>
      </c>
      <c r="C28" s="14" t="inlineStr">
        <is>
          <t>RS</t>
        </is>
      </c>
      <c r="D28" s="14" t="inlineStr">
        <is>
          <t>WC484</t>
        </is>
      </c>
      <c r="E28" s="14" t="inlineStr">
        <is>
          <t>Matched</t>
        </is>
      </c>
      <c r="F28" s="14" t="inlineStr">
        <is>
          <t>No</t>
        </is>
      </c>
      <c r="G28" s="14" t="inlineStr">
        <is>
          <t>Microsoft Power Automate Free</t>
        </is>
      </c>
      <c r="H28" s="14" t="inlineStr">
        <is>
          <t>Likely free / trial</t>
        </is>
      </c>
      <c r="I28" s="18">
        <f>IFERROR(VLOOKUP(G28,SKU_Cost_Input!$A$2:$E$16,4,FALSE),0)</f>
        <v/>
      </c>
      <c r="J28" s="14">
        <f>IFERROR(VLOOKUP(G28,SKU_Cost_Input!$A$2:$E$16,2,FALSE),0)</f>
        <v/>
      </c>
      <c r="K28" s="18">
        <f>IF(J28=0,0,I28/J28)</f>
        <v/>
      </c>
      <c r="L28" s="18">
        <f>K28</f>
        <v/>
      </c>
      <c r="M28" s="14" t="inlineStr">
        <is>
          <t>Exact company email match</t>
        </is>
      </c>
      <c r="N28" s="14" t="inlineStr"/>
    </row>
    <row r="29">
      <c r="A29" s="14" t="inlineStr">
        <is>
          <t>annahm@WearCheckRS.com</t>
        </is>
      </c>
      <c r="B29" s="14" t="inlineStr">
        <is>
          <t>Annah Modutwane</t>
        </is>
      </c>
      <c r="C29" s="14" t="inlineStr">
        <is>
          <t>RS</t>
        </is>
      </c>
      <c r="D29" s="14" t="inlineStr">
        <is>
          <t>WC484</t>
        </is>
      </c>
      <c r="E29" s="14" t="inlineStr">
        <is>
          <t>Matched</t>
        </is>
      </c>
      <c r="F29" s="14" t="inlineStr">
        <is>
          <t>No</t>
        </is>
      </c>
      <c r="G29" s="14" t="inlineStr">
        <is>
          <t>Microsoft Fabric (Free)</t>
        </is>
      </c>
      <c r="H29" s="14" t="inlineStr">
        <is>
          <t>Likely free / trial</t>
        </is>
      </c>
      <c r="I29" s="18">
        <f>IFERROR(VLOOKUP(G29,SKU_Cost_Input!$A$2:$E$16,4,FALSE),0)</f>
        <v/>
      </c>
      <c r="J29" s="14">
        <f>IFERROR(VLOOKUP(G29,SKU_Cost_Input!$A$2:$E$16,2,FALSE),0)</f>
        <v/>
      </c>
      <c r="K29" s="18">
        <f>IF(J29=0,0,I29/J29)</f>
        <v/>
      </c>
      <c r="L29" s="18">
        <f>K29</f>
        <v/>
      </c>
      <c r="M29" s="14" t="inlineStr">
        <is>
          <t>Exact company email match</t>
        </is>
      </c>
      <c r="N29" s="14" t="inlineStr"/>
    </row>
    <row r="30">
      <c r="A30" s="14" t="inlineStr">
        <is>
          <t>annahm@WearCheckRS.com</t>
        </is>
      </c>
      <c r="B30" s="14" t="inlineStr">
        <is>
          <t>Annah Modutwane</t>
        </is>
      </c>
      <c r="C30" s="14" t="inlineStr">
        <is>
          <t>RS</t>
        </is>
      </c>
      <c r="D30" s="14" t="inlineStr">
        <is>
          <t>WC484</t>
        </is>
      </c>
      <c r="E30" s="14" t="inlineStr">
        <is>
          <t>Matched</t>
        </is>
      </c>
      <c r="F30" s="14" t="inlineStr">
        <is>
          <t>No</t>
        </is>
      </c>
      <c r="G30" s="14" t="inlineStr">
        <is>
          <t>Microsoft 365 Business Standard</t>
        </is>
      </c>
      <c r="H30" s="14" t="inlineStr">
        <is>
          <t>Likely billable</t>
        </is>
      </c>
      <c r="I30" s="18">
        <f>IFERROR(VLOOKUP(G30,SKU_Cost_Input!$A$2:$E$16,4,FALSE),0)</f>
        <v/>
      </c>
      <c r="J30" s="14">
        <f>IFERROR(VLOOKUP(G30,SKU_Cost_Input!$A$2:$E$16,2,FALSE),0)</f>
        <v/>
      </c>
      <c r="K30" s="18">
        <f>IF(J30=0,0,I30/J30)</f>
        <v/>
      </c>
      <c r="L30" s="18">
        <f>K30</f>
        <v/>
      </c>
      <c r="M30" s="14" t="inlineStr">
        <is>
          <t>Exact company email match</t>
        </is>
      </c>
      <c r="N30" s="14" t="inlineStr">
        <is>
          <t>Review: Business Standard — consider Business Basic if sufficient</t>
        </is>
      </c>
    </row>
    <row r="31">
      <c r="A31" s="14" t="inlineStr">
        <is>
          <t>annemie@WearCheckRS.com</t>
        </is>
      </c>
      <c r="B31" s="14" t="inlineStr">
        <is>
          <t>Annemie Willer</t>
        </is>
      </c>
      <c r="C31" s="14" t="inlineStr">
        <is>
          <t>RS</t>
        </is>
      </c>
      <c r="D31" s="14" t="inlineStr">
        <is>
          <t>WC319</t>
        </is>
      </c>
      <c r="E31" s="14" t="inlineStr">
        <is>
          <t>Matched</t>
        </is>
      </c>
      <c r="F31" s="14" t="inlineStr">
        <is>
          <t>No</t>
        </is>
      </c>
      <c r="G31" s="14" t="inlineStr">
        <is>
          <t>Microsoft Defender for Office 365 (Plan 2)</t>
        </is>
      </c>
      <c r="H31" s="14" t="inlineStr">
        <is>
          <t>Likely billable</t>
        </is>
      </c>
      <c r="I31" s="18">
        <f>IFERROR(VLOOKUP(G31,SKU_Cost_Input!$A$2:$E$16,4,FALSE),0)</f>
        <v/>
      </c>
      <c r="J31" s="14">
        <f>IFERROR(VLOOKUP(G31,SKU_Cost_Input!$A$2:$E$16,2,FALSE),0)</f>
        <v/>
      </c>
      <c r="K31" s="18">
        <f>IF(J31=0,0,I31/J31)</f>
        <v/>
      </c>
      <c r="L31" s="18">
        <f>K31</f>
        <v/>
      </c>
      <c r="M31" s="14" t="inlineStr">
        <is>
          <t>Exact company email match</t>
        </is>
      </c>
      <c r="N31" s="14" t="inlineStr"/>
    </row>
    <row r="32">
      <c r="A32" s="14" t="inlineStr">
        <is>
          <t>annemie@WearCheckRS.com</t>
        </is>
      </c>
      <c r="B32" s="14" t="inlineStr">
        <is>
          <t>Annemie Willer</t>
        </is>
      </c>
      <c r="C32" s="14" t="inlineStr">
        <is>
          <t>RS</t>
        </is>
      </c>
      <c r="D32" s="14" t="inlineStr">
        <is>
          <t>WC319</t>
        </is>
      </c>
      <c r="E32" s="14" t="inlineStr">
        <is>
          <t>Matched</t>
        </is>
      </c>
      <c r="F32" s="14" t="inlineStr">
        <is>
          <t>No</t>
        </is>
      </c>
      <c r="G32" s="14" t="inlineStr">
        <is>
          <t>Power BI Premium Per User</t>
        </is>
      </c>
      <c r="H32" s="14" t="inlineStr">
        <is>
          <t>Likely billable</t>
        </is>
      </c>
      <c r="I32" s="18">
        <f>IFERROR(VLOOKUP(G32,SKU_Cost_Input!$A$2:$E$16,4,FALSE),0)</f>
        <v/>
      </c>
      <c r="J32" s="14">
        <f>IFERROR(VLOOKUP(G32,SKU_Cost_Input!$A$2:$E$16,2,FALSE),0)</f>
        <v/>
      </c>
      <c r="K32" s="18">
        <f>IF(J32=0,0,I32/J32)</f>
        <v/>
      </c>
      <c r="L32" s="18">
        <f>K32</f>
        <v/>
      </c>
      <c r="M32" s="14" t="inlineStr">
        <is>
          <t>Exact company email match</t>
        </is>
      </c>
      <c r="N32" s="14" t="inlineStr"/>
    </row>
    <row r="33">
      <c r="A33" s="14" t="inlineStr">
        <is>
          <t>annemie@WearCheckRS.com</t>
        </is>
      </c>
      <c r="B33" s="14" t="inlineStr">
        <is>
          <t>Annemie Willer</t>
        </is>
      </c>
      <c r="C33" s="14" t="inlineStr">
        <is>
          <t>RS</t>
        </is>
      </c>
      <c r="D33" s="14" t="inlineStr">
        <is>
          <t>WC319</t>
        </is>
      </c>
      <c r="E33" s="14" t="inlineStr">
        <is>
          <t>Matched</t>
        </is>
      </c>
      <c r="F33" s="14" t="inlineStr">
        <is>
          <t>No</t>
        </is>
      </c>
      <c r="G33" s="14" t="inlineStr">
        <is>
          <t>Microsoft Copilot Studio Viral Trial</t>
        </is>
      </c>
      <c r="H33" s="14" t="inlineStr">
        <is>
          <t>Likely free / trial</t>
        </is>
      </c>
      <c r="I33" s="18">
        <f>IFERROR(VLOOKUP(G33,SKU_Cost_Input!$A$2:$E$16,4,FALSE),0)</f>
        <v/>
      </c>
      <c r="J33" s="14">
        <f>IFERROR(VLOOKUP(G33,SKU_Cost_Input!$A$2:$E$16,2,FALSE),0)</f>
        <v/>
      </c>
      <c r="K33" s="18">
        <f>IF(J33=0,0,I33/J33)</f>
        <v/>
      </c>
      <c r="L33" s="18">
        <f>K33</f>
        <v/>
      </c>
      <c r="M33" s="14" t="inlineStr">
        <is>
          <t>Exact company email match</t>
        </is>
      </c>
      <c r="N33" s="14" t="inlineStr"/>
    </row>
    <row r="34">
      <c r="A34" s="14" t="inlineStr">
        <is>
          <t>annemie@WearCheckRS.com</t>
        </is>
      </c>
      <c r="B34" s="14" t="inlineStr">
        <is>
          <t>Annemie Willer</t>
        </is>
      </c>
      <c r="C34" s="14" t="inlineStr">
        <is>
          <t>RS</t>
        </is>
      </c>
      <c r="D34" s="14" t="inlineStr">
        <is>
          <t>WC319</t>
        </is>
      </c>
      <c r="E34" s="14" t="inlineStr">
        <is>
          <t>Matched</t>
        </is>
      </c>
      <c r="F34" s="14" t="inlineStr">
        <is>
          <t>No</t>
        </is>
      </c>
      <c r="G34" s="14" t="inlineStr">
        <is>
          <t>Microsoft Power Apps Plan 2 Trial</t>
        </is>
      </c>
      <c r="H34" s="14" t="inlineStr">
        <is>
          <t>Likely free / trial</t>
        </is>
      </c>
      <c r="I34" s="18">
        <f>IFERROR(VLOOKUP(G34,SKU_Cost_Input!$A$2:$E$16,4,FALSE),0)</f>
        <v/>
      </c>
      <c r="J34" s="14">
        <f>IFERROR(VLOOKUP(G34,SKU_Cost_Input!$A$2:$E$16,2,FALSE),0)</f>
        <v/>
      </c>
      <c r="K34" s="18">
        <f>IF(J34=0,0,I34/J34)</f>
        <v/>
      </c>
      <c r="L34" s="18">
        <f>K34</f>
        <v/>
      </c>
      <c r="M34" s="14" t="inlineStr">
        <is>
          <t>Exact company email match</t>
        </is>
      </c>
      <c r="N34" s="14" t="inlineStr"/>
    </row>
    <row r="35">
      <c r="A35" s="14" t="inlineStr">
        <is>
          <t>annemie@WearCheckRS.com</t>
        </is>
      </c>
      <c r="B35" s="14" t="inlineStr">
        <is>
          <t>Annemie Willer</t>
        </is>
      </c>
      <c r="C35" s="14" t="inlineStr">
        <is>
          <t>RS</t>
        </is>
      </c>
      <c r="D35" s="14" t="inlineStr">
        <is>
          <t>WC319</t>
        </is>
      </c>
      <c r="E35" s="14" t="inlineStr">
        <is>
          <t>Matched</t>
        </is>
      </c>
      <c r="F35" s="14" t="inlineStr">
        <is>
          <t>No</t>
        </is>
      </c>
      <c r="G35" s="14" t="inlineStr">
        <is>
          <t>Microsoft 365 E3</t>
        </is>
      </c>
      <c r="H35" s="14" t="inlineStr">
        <is>
          <t>Likely billable</t>
        </is>
      </c>
      <c r="I35" s="18">
        <f>IFERROR(VLOOKUP(G35,SKU_Cost_Input!$A$2:$E$16,4,FALSE),0)</f>
        <v/>
      </c>
      <c r="J35" s="14">
        <f>IFERROR(VLOOKUP(G35,SKU_Cost_Input!$A$2:$E$16,2,FALSE),0)</f>
        <v/>
      </c>
      <c r="K35" s="18">
        <f>IF(J35=0,0,I35/J35)</f>
        <v/>
      </c>
      <c r="L35" s="18">
        <f>K35</f>
        <v/>
      </c>
      <c r="M35" s="14" t="inlineStr">
        <is>
          <t>Exact company email match</t>
        </is>
      </c>
      <c r="N35" s="14" t="inlineStr">
        <is>
          <t>Review: E3 may be downgradeable to E1 or Business Basic</t>
        </is>
      </c>
    </row>
    <row r="36">
      <c r="A36" s="14" t="inlineStr">
        <is>
          <t>annemie@WearCheckRS.com</t>
        </is>
      </c>
      <c r="B36" s="14" t="inlineStr">
        <is>
          <t>Annemie Willer</t>
        </is>
      </c>
      <c r="C36" s="14" t="inlineStr">
        <is>
          <t>RS</t>
        </is>
      </c>
      <c r="D36" s="14" t="inlineStr">
        <is>
          <t>WC319</t>
        </is>
      </c>
      <c r="E36" s="14" t="inlineStr">
        <is>
          <t>Matched</t>
        </is>
      </c>
      <c r="F36" s="14" t="inlineStr">
        <is>
          <t>No</t>
        </is>
      </c>
      <c r="G36" s="14" t="inlineStr">
        <is>
          <t>Microsoft Fabric (Free)</t>
        </is>
      </c>
      <c r="H36" s="14" t="inlineStr">
        <is>
          <t>Likely free / trial</t>
        </is>
      </c>
      <c r="I36" s="18">
        <f>IFERROR(VLOOKUP(G36,SKU_Cost_Input!$A$2:$E$16,4,FALSE),0)</f>
        <v/>
      </c>
      <c r="J36" s="14">
        <f>IFERROR(VLOOKUP(G36,SKU_Cost_Input!$A$2:$E$16,2,FALSE),0)</f>
        <v/>
      </c>
      <c r="K36" s="18">
        <f>IF(J36=0,0,I36/J36)</f>
        <v/>
      </c>
      <c r="L36" s="18">
        <f>K36</f>
        <v/>
      </c>
      <c r="M36" s="14" t="inlineStr">
        <is>
          <t>Exact company email match</t>
        </is>
      </c>
      <c r="N36" s="14" t="inlineStr"/>
    </row>
    <row r="37">
      <c r="A37" s="14" t="inlineStr">
        <is>
          <t>annemie@WearCheckRS.com</t>
        </is>
      </c>
      <c r="B37" s="14" t="inlineStr">
        <is>
          <t>Annemie Willer</t>
        </is>
      </c>
      <c r="C37" s="14" t="inlineStr">
        <is>
          <t>RS</t>
        </is>
      </c>
      <c r="D37" s="14" t="inlineStr">
        <is>
          <t>WC319</t>
        </is>
      </c>
      <c r="E37" s="14" t="inlineStr">
        <is>
          <t>Matched</t>
        </is>
      </c>
      <c r="F37" s="14" t="inlineStr">
        <is>
          <t>No</t>
        </is>
      </c>
      <c r="G37" s="14" t="inlineStr">
        <is>
          <t>Microsoft Power Automate Free</t>
        </is>
      </c>
      <c r="H37" s="14" t="inlineStr">
        <is>
          <t>Likely free / trial</t>
        </is>
      </c>
      <c r="I37" s="18">
        <f>IFERROR(VLOOKUP(G37,SKU_Cost_Input!$A$2:$E$16,4,FALSE),0)</f>
        <v/>
      </c>
      <c r="J37" s="14">
        <f>IFERROR(VLOOKUP(G37,SKU_Cost_Input!$A$2:$E$16,2,FALSE),0)</f>
        <v/>
      </c>
      <c r="K37" s="18">
        <f>IF(J37=0,0,I37/J37)</f>
        <v/>
      </c>
      <c r="L37" s="18">
        <f>K37</f>
        <v/>
      </c>
      <c r="M37" s="14" t="inlineStr">
        <is>
          <t>Exact company email match</t>
        </is>
      </c>
      <c r="N37" s="14" t="inlineStr"/>
    </row>
    <row r="38">
      <c r="A38" s="14" t="inlineStr">
        <is>
          <t>Antonio.Ehrke@WearCheckRS.com</t>
        </is>
      </c>
      <c r="B38" s="14" t="inlineStr">
        <is>
          <t>Antonio Ehrke</t>
        </is>
      </c>
      <c r="C38" s="14" t="inlineStr">
        <is>
          <t>AFS</t>
        </is>
      </c>
      <c r="D38" s="14" t="inlineStr">
        <is>
          <t>WC503</t>
        </is>
      </c>
      <c r="E38" s="14" t="inlineStr">
        <is>
          <t>Matched</t>
        </is>
      </c>
      <c r="F38" s="14" t="inlineStr">
        <is>
          <t>No</t>
        </is>
      </c>
      <c r="G38" s="14" t="inlineStr">
        <is>
          <t>Microsoft Defender for Office 365 (Plan 2)</t>
        </is>
      </c>
      <c r="H38" s="14" t="inlineStr">
        <is>
          <t>Likely billable</t>
        </is>
      </c>
      <c r="I38" s="18">
        <f>IFERROR(VLOOKUP(G38,SKU_Cost_Input!$A$2:$E$16,4,FALSE),0)</f>
        <v/>
      </c>
      <c r="J38" s="14">
        <f>IFERROR(VLOOKUP(G38,SKU_Cost_Input!$A$2:$E$16,2,FALSE),0)</f>
        <v/>
      </c>
      <c r="K38" s="18">
        <f>IF(J38=0,0,I38/J38)</f>
        <v/>
      </c>
      <c r="L38" s="18">
        <f>K38</f>
        <v/>
      </c>
      <c r="M38" s="14" t="inlineStr">
        <is>
          <t>Exact company email match</t>
        </is>
      </c>
      <c r="N38" s="14" t="inlineStr"/>
    </row>
    <row r="39">
      <c r="A39" s="14" t="inlineStr">
        <is>
          <t>Antonio.Ehrke@WearCheckRS.com</t>
        </is>
      </c>
      <c r="B39" s="14" t="inlineStr">
        <is>
          <t>Antonio Ehrke</t>
        </is>
      </c>
      <c r="C39" s="14" t="inlineStr">
        <is>
          <t>AFS</t>
        </is>
      </c>
      <c r="D39" s="14" t="inlineStr">
        <is>
          <t>WC503</t>
        </is>
      </c>
      <c r="E39" s="14" t="inlineStr">
        <is>
          <t>Matched</t>
        </is>
      </c>
      <c r="F39" s="14" t="inlineStr">
        <is>
          <t>No</t>
        </is>
      </c>
      <c r="G39" s="14" t="inlineStr">
        <is>
          <t>Microsoft 365 Business Standard</t>
        </is>
      </c>
      <c r="H39" s="14" t="inlineStr">
        <is>
          <t>Likely billable</t>
        </is>
      </c>
      <c r="I39" s="18">
        <f>IFERROR(VLOOKUP(G39,SKU_Cost_Input!$A$2:$E$16,4,FALSE),0)</f>
        <v/>
      </c>
      <c r="J39" s="14">
        <f>IFERROR(VLOOKUP(G39,SKU_Cost_Input!$A$2:$E$16,2,FALSE),0)</f>
        <v/>
      </c>
      <c r="K39" s="18">
        <f>IF(J39=0,0,I39/J39)</f>
        <v/>
      </c>
      <c r="L39" s="18">
        <f>K39</f>
        <v/>
      </c>
      <c r="M39" s="14" t="inlineStr">
        <is>
          <t>Exact company email match</t>
        </is>
      </c>
      <c r="N39" s="14" t="inlineStr">
        <is>
          <t>Review: Business Standard — consider Business Basic if sufficient</t>
        </is>
      </c>
    </row>
    <row r="40">
      <c r="A40" s="14" t="inlineStr">
        <is>
          <t>Armindo@WearCheckRS.com</t>
        </is>
      </c>
      <c r="B40" s="14" t="inlineStr">
        <is>
          <t>Armindo Mucacho</t>
        </is>
      </c>
      <c r="C40" s="14" t="inlineStr">
        <is>
          <t>Mozambique</t>
        </is>
      </c>
      <c r="D40" s="14" t="inlineStr">
        <is>
          <t>Unknown</t>
        </is>
      </c>
      <c r="E40" s="14" t="inlineStr">
        <is>
          <t>Matched</t>
        </is>
      </c>
      <c r="F40" s="14" t="inlineStr">
        <is>
          <t>No</t>
        </is>
      </c>
      <c r="G40" s="14" t="inlineStr">
        <is>
          <t>Microsoft Defender for Office 365 (Plan 2)</t>
        </is>
      </c>
      <c r="H40" s="14" t="inlineStr">
        <is>
          <t>Likely billable</t>
        </is>
      </c>
      <c r="I40" s="18">
        <f>IFERROR(VLOOKUP(G40,SKU_Cost_Input!$A$2:$E$16,4,FALSE),0)</f>
        <v/>
      </c>
      <c r="J40" s="14">
        <f>IFERROR(VLOOKUP(G40,SKU_Cost_Input!$A$2:$E$16,2,FALSE),0)</f>
        <v/>
      </c>
      <c r="K40" s="18">
        <f>IF(J40=0,0,I40/J40)</f>
        <v/>
      </c>
      <c r="L40" s="18">
        <f>K40</f>
        <v/>
      </c>
      <c r="M40" s="14" t="inlineStr">
        <is>
          <t>Exact company email match</t>
        </is>
      </c>
      <c r="N40" s="14" t="inlineStr"/>
    </row>
    <row r="41">
      <c r="A41" s="14" t="inlineStr">
        <is>
          <t>Armindo@WearCheckRS.com</t>
        </is>
      </c>
      <c r="B41" s="14" t="inlineStr">
        <is>
          <t>Armindo Mucacho</t>
        </is>
      </c>
      <c r="C41" s="14" t="inlineStr">
        <is>
          <t>Mozambique</t>
        </is>
      </c>
      <c r="D41" s="14" t="inlineStr">
        <is>
          <t>Unknown</t>
        </is>
      </c>
      <c r="E41" s="14" t="inlineStr">
        <is>
          <t>Matched</t>
        </is>
      </c>
      <c r="F41" s="14" t="inlineStr">
        <is>
          <t>No</t>
        </is>
      </c>
      <c r="G41" s="14" t="inlineStr">
        <is>
          <t>Microsoft Fabric (Free)</t>
        </is>
      </c>
      <c r="H41" s="14" t="inlineStr">
        <is>
          <t>Likely free / trial</t>
        </is>
      </c>
      <c r="I41" s="18">
        <f>IFERROR(VLOOKUP(G41,SKU_Cost_Input!$A$2:$E$16,4,FALSE),0)</f>
        <v/>
      </c>
      <c r="J41" s="14">
        <f>IFERROR(VLOOKUP(G41,SKU_Cost_Input!$A$2:$E$16,2,FALSE),0)</f>
        <v/>
      </c>
      <c r="K41" s="18">
        <f>IF(J41=0,0,I41/J41)</f>
        <v/>
      </c>
      <c r="L41" s="18">
        <f>K41</f>
        <v/>
      </c>
      <c r="M41" s="14" t="inlineStr">
        <is>
          <t>Exact company email match</t>
        </is>
      </c>
      <c r="N41" s="14" t="inlineStr"/>
    </row>
    <row r="42">
      <c r="A42" s="14" t="inlineStr">
        <is>
          <t>Armindo@WearCheckRS.com</t>
        </is>
      </c>
      <c r="B42" s="14" t="inlineStr">
        <is>
          <t>Armindo Mucacho</t>
        </is>
      </c>
      <c r="C42" s="14" t="inlineStr">
        <is>
          <t>Mozambique</t>
        </is>
      </c>
      <c r="D42" s="14" t="inlineStr">
        <is>
          <t>Unknown</t>
        </is>
      </c>
      <c r="E42" s="14" t="inlineStr">
        <is>
          <t>Matched</t>
        </is>
      </c>
      <c r="F42" s="14" t="inlineStr">
        <is>
          <t>No</t>
        </is>
      </c>
      <c r="G42" s="14" t="inlineStr">
        <is>
          <t>Microsoft 365 Business Standard</t>
        </is>
      </c>
      <c r="H42" s="14" t="inlineStr">
        <is>
          <t>Likely billable</t>
        </is>
      </c>
      <c r="I42" s="18">
        <f>IFERROR(VLOOKUP(G42,SKU_Cost_Input!$A$2:$E$16,4,FALSE),0)</f>
        <v/>
      </c>
      <c r="J42" s="14">
        <f>IFERROR(VLOOKUP(G42,SKU_Cost_Input!$A$2:$E$16,2,FALSE),0)</f>
        <v/>
      </c>
      <c r="K42" s="18">
        <f>IF(J42=0,0,I42/J42)</f>
        <v/>
      </c>
      <c r="L42" s="18">
        <f>K42</f>
        <v/>
      </c>
      <c r="M42" s="14" t="inlineStr">
        <is>
          <t>Exact company email match</t>
        </is>
      </c>
      <c r="N42" s="14" t="inlineStr">
        <is>
          <t>Review: Business Standard — consider Business Basic if sufficient</t>
        </is>
      </c>
    </row>
    <row r="43">
      <c r="A43" s="14" t="inlineStr">
        <is>
          <t>Arnold@WearCheckRS.com</t>
        </is>
      </c>
      <c r="B43" s="14" t="inlineStr">
        <is>
          <t>Arnold van Zyl</t>
        </is>
      </c>
      <c r="C43" s="14" t="inlineStr">
        <is>
          <t>AFS</t>
        </is>
      </c>
      <c r="D43" s="14" t="inlineStr">
        <is>
          <t>WC526</t>
        </is>
      </c>
      <c r="E43" s="14" t="inlineStr">
        <is>
          <t>Matched</t>
        </is>
      </c>
      <c r="F43" s="14" t="inlineStr">
        <is>
          <t>No</t>
        </is>
      </c>
      <c r="G43" s="14" t="inlineStr">
        <is>
          <t>Microsoft Defender for Office 365 (Plan 2)</t>
        </is>
      </c>
      <c r="H43" s="14" t="inlineStr">
        <is>
          <t>Likely billable</t>
        </is>
      </c>
      <c r="I43" s="18">
        <f>IFERROR(VLOOKUP(G43,SKU_Cost_Input!$A$2:$E$16,4,FALSE),0)</f>
        <v/>
      </c>
      <c r="J43" s="14">
        <f>IFERROR(VLOOKUP(G43,SKU_Cost_Input!$A$2:$E$16,2,FALSE),0)</f>
        <v/>
      </c>
      <c r="K43" s="18">
        <f>IF(J43=0,0,I43/J43)</f>
        <v/>
      </c>
      <c r="L43" s="18">
        <f>K43</f>
        <v/>
      </c>
      <c r="M43" s="14" t="inlineStr">
        <is>
          <t>Exact company email match</t>
        </is>
      </c>
      <c r="N43" s="14" t="inlineStr"/>
    </row>
    <row r="44">
      <c r="A44" s="14" t="inlineStr">
        <is>
          <t>Arnold@WearCheckRS.com</t>
        </is>
      </c>
      <c r="B44" s="14" t="inlineStr">
        <is>
          <t>Arnold van Zyl</t>
        </is>
      </c>
      <c r="C44" s="14" t="inlineStr">
        <is>
          <t>AFS</t>
        </is>
      </c>
      <c r="D44" s="14" t="inlineStr">
        <is>
          <t>WC526</t>
        </is>
      </c>
      <c r="E44" s="14" t="inlineStr">
        <is>
          <t>Matched</t>
        </is>
      </c>
      <c r="F44" s="14" t="inlineStr">
        <is>
          <t>No</t>
        </is>
      </c>
      <c r="G44" s="14" t="inlineStr">
        <is>
          <t>Microsoft 365 Business Standard</t>
        </is>
      </c>
      <c r="H44" s="14" t="inlineStr">
        <is>
          <t>Likely billable</t>
        </is>
      </c>
      <c r="I44" s="18">
        <f>IFERROR(VLOOKUP(G44,SKU_Cost_Input!$A$2:$E$16,4,FALSE),0)</f>
        <v/>
      </c>
      <c r="J44" s="14">
        <f>IFERROR(VLOOKUP(G44,SKU_Cost_Input!$A$2:$E$16,2,FALSE),0)</f>
        <v/>
      </c>
      <c r="K44" s="18">
        <f>IF(J44=0,0,I44/J44)</f>
        <v/>
      </c>
      <c r="L44" s="18">
        <f>K44</f>
        <v/>
      </c>
      <c r="M44" s="14" t="inlineStr">
        <is>
          <t>Exact company email match</t>
        </is>
      </c>
      <c r="N44" s="14" t="inlineStr">
        <is>
          <t>Review: Business Standard — consider Business Basic if sufficient</t>
        </is>
      </c>
    </row>
    <row r="45">
      <c r="A45" s="14" t="inlineStr">
        <is>
          <t>Aubrey@WearCheckRS.com</t>
        </is>
      </c>
      <c r="B45" s="14" t="inlineStr">
        <is>
          <t>Aubrey Tshabalala</t>
        </is>
      </c>
      <c r="C45" s="14" t="inlineStr">
        <is>
          <t>RS</t>
        </is>
      </c>
      <c r="D45" s="14" t="inlineStr">
        <is>
          <t>WEC114</t>
        </is>
      </c>
      <c r="E45" s="14" t="inlineStr">
        <is>
          <t>Matched</t>
        </is>
      </c>
      <c r="F45" s="14" t="inlineStr">
        <is>
          <t>No</t>
        </is>
      </c>
      <c r="G45" s="14" t="inlineStr">
        <is>
          <t>Microsoft Defender for Office 365 (Plan 2)</t>
        </is>
      </c>
      <c r="H45" s="14" t="inlineStr">
        <is>
          <t>Likely billable</t>
        </is>
      </c>
      <c r="I45" s="18">
        <f>IFERROR(VLOOKUP(G45,SKU_Cost_Input!$A$2:$E$16,4,FALSE),0)</f>
        <v/>
      </c>
      <c r="J45" s="14">
        <f>IFERROR(VLOOKUP(G45,SKU_Cost_Input!$A$2:$E$16,2,FALSE),0)</f>
        <v/>
      </c>
      <c r="K45" s="18">
        <f>IF(J45=0,0,I45/J45)</f>
        <v/>
      </c>
      <c r="L45" s="18">
        <f>K45</f>
        <v/>
      </c>
      <c r="M45" s="14" t="inlineStr">
        <is>
          <t>Exact company email match</t>
        </is>
      </c>
      <c r="N45" s="14" t="inlineStr"/>
    </row>
    <row r="46">
      <c r="A46" s="14" t="inlineStr">
        <is>
          <t>Aubrey@WearCheckRS.com</t>
        </is>
      </c>
      <c r="B46" s="14" t="inlineStr">
        <is>
          <t>Aubrey Tshabalala</t>
        </is>
      </c>
      <c r="C46" s="14" t="inlineStr">
        <is>
          <t>RS</t>
        </is>
      </c>
      <c r="D46" s="14" t="inlineStr">
        <is>
          <t>WEC114</t>
        </is>
      </c>
      <c r="E46" s="14" t="inlineStr">
        <is>
          <t>Matched</t>
        </is>
      </c>
      <c r="F46" s="14" t="inlineStr">
        <is>
          <t>No</t>
        </is>
      </c>
      <c r="G46" s="14" t="inlineStr">
        <is>
          <t>Microsoft 365 Business Standard</t>
        </is>
      </c>
      <c r="H46" s="14" t="inlineStr">
        <is>
          <t>Likely billable</t>
        </is>
      </c>
      <c r="I46" s="18">
        <f>IFERROR(VLOOKUP(G46,SKU_Cost_Input!$A$2:$E$16,4,FALSE),0)</f>
        <v/>
      </c>
      <c r="J46" s="14">
        <f>IFERROR(VLOOKUP(G46,SKU_Cost_Input!$A$2:$E$16,2,FALSE),0)</f>
        <v/>
      </c>
      <c r="K46" s="18">
        <f>IF(J46=0,0,I46/J46)</f>
        <v/>
      </c>
      <c r="L46" s="18">
        <f>K46</f>
        <v/>
      </c>
      <c r="M46" s="14" t="inlineStr">
        <is>
          <t>Exact company email match</t>
        </is>
      </c>
      <c r="N46" s="14" t="inlineStr">
        <is>
          <t>Review: Business Standard — consider Business Basic if sufficient</t>
        </is>
      </c>
    </row>
    <row r="47">
      <c r="A47" s="14" t="inlineStr">
        <is>
          <t>lopi@WearCheckRS.com</t>
        </is>
      </c>
      <c r="B47" s="14" t="inlineStr">
        <is>
          <t>Bernard Lopi Molangoane</t>
        </is>
      </c>
      <c r="C47" s="14" t="inlineStr">
        <is>
          <t>RS</t>
        </is>
      </c>
      <c r="D47" s="14" t="inlineStr">
        <is>
          <t>WC269</t>
        </is>
      </c>
      <c r="E47" s="14" t="inlineStr">
        <is>
          <t>Matched</t>
        </is>
      </c>
      <c r="F47" s="14" t="inlineStr">
        <is>
          <t>No</t>
        </is>
      </c>
      <c r="G47" s="14" t="inlineStr">
        <is>
          <t>Microsoft Defender for Office 365 (Plan 2)</t>
        </is>
      </c>
      <c r="H47" s="14" t="inlineStr">
        <is>
          <t>Likely billable</t>
        </is>
      </c>
      <c r="I47" s="18">
        <f>IFERROR(VLOOKUP(G47,SKU_Cost_Input!$A$2:$E$16,4,FALSE),0)</f>
        <v/>
      </c>
      <c r="J47" s="14">
        <f>IFERROR(VLOOKUP(G47,SKU_Cost_Input!$A$2:$E$16,2,FALSE),0)</f>
        <v/>
      </c>
      <c r="K47" s="18">
        <f>IF(J47=0,0,I47/J47)</f>
        <v/>
      </c>
      <c r="L47" s="18">
        <f>K47</f>
        <v/>
      </c>
      <c r="M47" s="14" t="inlineStr">
        <is>
          <t>Matched via exact name</t>
        </is>
      </c>
      <c r="N47" s="14" t="inlineStr"/>
    </row>
    <row r="48">
      <c r="A48" s="14" t="inlineStr">
        <is>
          <t>lopi@WearCheckRS.com</t>
        </is>
      </c>
      <c r="B48" s="14" t="inlineStr">
        <is>
          <t>Bernard Lopi Molangoane</t>
        </is>
      </c>
      <c r="C48" s="14" t="inlineStr">
        <is>
          <t>RS</t>
        </is>
      </c>
      <c r="D48" s="14" t="inlineStr">
        <is>
          <t>WC269</t>
        </is>
      </c>
      <c r="E48" s="14" t="inlineStr">
        <is>
          <t>Matched</t>
        </is>
      </c>
      <c r="F48" s="14" t="inlineStr">
        <is>
          <t>No</t>
        </is>
      </c>
      <c r="G48" s="14" t="inlineStr">
        <is>
          <t>Microsoft 365 Business Standard</t>
        </is>
      </c>
      <c r="H48" s="14" t="inlineStr">
        <is>
          <t>Likely billable</t>
        </is>
      </c>
      <c r="I48" s="18">
        <f>IFERROR(VLOOKUP(G48,SKU_Cost_Input!$A$2:$E$16,4,FALSE),0)</f>
        <v/>
      </c>
      <c r="J48" s="14">
        <f>IFERROR(VLOOKUP(G48,SKU_Cost_Input!$A$2:$E$16,2,FALSE),0)</f>
        <v/>
      </c>
      <c r="K48" s="18">
        <f>IF(J48=0,0,I48/J48)</f>
        <v/>
      </c>
      <c r="L48" s="18">
        <f>K48</f>
        <v/>
      </c>
      <c r="M48" s="14" t="inlineStr">
        <is>
          <t>Matched via exact name</t>
        </is>
      </c>
      <c r="N48" s="14" t="inlineStr">
        <is>
          <t>Review: Business Standard — consider Business Basic if sufficient</t>
        </is>
      </c>
    </row>
    <row r="49">
      <c r="A49" s="14" t="inlineStr">
        <is>
          <t>betty@WearCheckRS.com</t>
        </is>
      </c>
      <c r="B49" s="14" t="inlineStr">
        <is>
          <t>Betty Monyepao</t>
        </is>
      </c>
      <c r="C49" s="14" t="inlineStr">
        <is>
          <t>RS</t>
        </is>
      </c>
      <c r="D49" s="14" t="inlineStr">
        <is>
          <t>WC465</t>
        </is>
      </c>
      <c r="E49" s="14" t="inlineStr">
        <is>
          <t>Matched</t>
        </is>
      </c>
      <c r="F49" s="14" t="inlineStr">
        <is>
          <t>No</t>
        </is>
      </c>
      <c r="G49" s="14" t="inlineStr">
        <is>
          <t>Microsoft Defender for Office 365 (Plan 2)</t>
        </is>
      </c>
      <c r="H49" s="14" t="inlineStr">
        <is>
          <t>Likely billable</t>
        </is>
      </c>
      <c r="I49" s="18">
        <f>IFERROR(VLOOKUP(G49,SKU_Cost_Input!$A$2:$E$16,4,FALSE),0)</f>
        <v/>
      </c>
      <c r="J49" s="14">
        <f>IFERROR(VLOOKUP(G49,SKU_Cost_Input!$A$2:$E$16,2,FALSE),0)</f>
        <v/>
      </c>
      <c r="K49" s="18">
        <f>IF(J49=0,0,I49/J49)</f>
        <v/>
      </c>
      <c r="L49" s="18">
        <f>K49</f>
        <v/>
      </c>
      <c r="M49" s="14" t="inlineStr">
        <is>
          <t>Exact company email match</t>
        </is>
      </c>
      <c r="N49" s="14" t="inlineStr"/>
    </row>
    <row r="50">
      <c r="A50" s="14" t="inlineStr">
        <is>
          <t>betty@WearCheckRS.com</t>
        </is>
      </c>
      <c r="B50" s="14" t="inlineStr">
        <is>
          <t>Betty Monyepao</t>
        </is>
      </c>
      <c r="C50" s="14" t="inlineStr">
        <is>
          <t>RS</t>
        </is>
      </c>
      <c r="D50" s="14" t="inlineStr">
        <is>
          <t>WC465</t>
        </is>
      </c>
      <c r="E50" s="14" t="inlineStr">
        <is>
          <t>Matched</t>
        </is>
      </c>
      <c r="F50" s="14" t="inlineStr">
        <is>
          <t>No</t>
        </is>
      </c>
      <c r="G50" s="14" t="inlineStr">
        <is>
          <t>Microsoft 365 Business Standard</t>
        </is>
      </c>
      <c r="H50" s="14" t="inlineStr">
        <is>
          <t>Likely billable</t>
        </is>
      </c>
      <c r="I50" s="18">
        <f>IFERROR(VLOOKUP(G50,SKU_Cost_Input!$A$2:$E$16,4,FALSE),0)</f>
        <v/>
      </c>
      <c r="J50" s="14">
        <f>IFERROR(VLOOKUP(G50,SKU_Cost_Input!$A$2:$E$16,2,FALSE),0)</f>
        <v/>
      </c>
      <c r="K50" s="18">
        <f>IF(J50=0,0,I50/J50)</f>
        <v/>
      </c>
      <c r="L50" s="18">
        <f>K50</f>
        <v/>
      </c>
      <c r="M50" s="14" t="inlineStr">
        <is>
          <t>Exact company email match</t>
        </is>
      </c>
      <c r="N50" s="14" t="inlineStr">
        <is>
          <t>Review: Business Standard — consider Business Basic if sufficient</t>
        </is>
      </c>
    </row>
    <row r="51">
      <c r="A51" s="14" t="inlineStr">
        <is>
          <t>Bianka@WearCheckRS.com</t>
        </is>
      </c>
      <c r="B51" s="14" t="inlineStr">
        <is>
          <t>Bianka De Beer</t>
        </is>
      </c>
      <c r="C51" s="14" t="inlineStr">
        <is>
          <t>RS</t>
        </is>
      </c>
      <c r="D51" s="14" t="inlineStr">
        <is>
          <t>WEC142</t>
        </is>
      </c>
      <c r="E51" s="14" t="inlineStr">
        <is>
          <t>Matched</t>
        </is>
      </c>
      <c r="F51" s="14" t="inlineStr">
        <is>
          <t>No</t>
        </is>
      </c>
      <c r="G51" s="14" t="inlineStr">
        <is>
          <t>Microsoft Power Automate Free</t>
        </is>
      </c>
      <c r="H51" s="14" t="inlineStr">
        <is>
          <t>Likely free / trial</t>
        </is>
      </c>
      <c r="I51" s="18">
        <f>IFERROR(VLOOKUP(G51,SKU_Cost_Input!$A$2:$E$16,4,FALSE),0)</f>
        <v/>
      </c>
      <c r="J51" s="14">
        <f>IFERROR(VLOOKUP(G51,SKU_Cost_Input!$A$2:$E$16,2,FALSE),0)</f>
        <v/>
      </c>
      <c r="K51" s="18">
        <f>IF(J51=0,0,I51/J51)</f>
        <v/>
      </c>
      <c r="L51" s="18">
        <f>K51</f>
        <v/>
      </c>
      <c r="M51" s="14" t="inlineStr">
        <is>
          <t>Exact company email match</t>
        </is>
      </c>
      <c r="N51" s="14" t="inlineStr"/>
    </row>
    <row r="52">
      <c r="A52" s="14" t="inlineStr">
        <is>
          <t>Bianka@WearCheckRS.com</t>
        </is>
      </c>
      <c r="B52" s="14" t="inlineStr">
        <is>
          <t>Bianka De Beer</t>
        </is>
      </c>
      <c r="C52" s="14" t="inlineStr">
        <is>
          <t>RS</t>
        </is>
      </c>
      <c r="D52" s="14" t="inlineStr">
        <is>
          <t>WEC142</t>
        </is>
      </c>
      <c r="E52" s="14" t="inlineStr">
        <is>
          <t>Matched</t>
        </is>
      </c>
      <c r="F52" s="14" t="inlineStr">
        <is>
          <t>No</t>
        </is>
      </c>
      <c r="G52" s="14" t="inlineStr">
        <is>
          <t>Microsoft Power Apps Plan 2 Trial</t>
        </is>
      </c>
      <c r="H52" s="14" t="inlineStr">
        <is>
          <t>Likely free / trial</t>
        </is>
      </c>
      <c r="I52" s="18">
        <f>IFERROR(VLOOKUP(G52,SKU_Cost_Input!$A$2:$E$16,4,FALSE),0)</f>
        <v/>
      </c>
      <c r="J52" s="14">
        <f>IFERROR(VLOOKUP(G52,SKU_Cost_Input!$A$2:$E$16,2,FALSE),0)</f>
        <v/>
      </c>
      <c r="K52" s="18">
        <f>IF(J52=0,0,I52/J52)</f>
        <v/>
      </c>
      <c r="L52" s="18">
        <f>K52</f>
        <v/>
      </c>
      <c r="M52" s="14" t="inlineStr">
        <is>
          <t>Exact company email match</t>
        </is>
      </c>
      <c r="N52" s="14" t="inlineStr"/>
    </row>
    <row r="53">
      <c r="A53" s="14" t="inlineStr">
        <is>
          <t>Bianka@WearCheckRS.com</t>
        </is>
      </c>
      <c r="B53" s="14" t="inlineStr">
        <is>
          <t>Bianka De Beer</t>
        </is>
      </c>
      <c r="C53" s="14" t="inlineStr">
        <is>
          <t>RS</t>
        </is>
      </c>
      <c r="D53" s="14" t="inlineStr">
        <is>
          <t>WEC142</t>
        </is>
      </c>
      <c r="E53" s="14" t="inlineStr">
        <is>
          <t>Matched</t>
        </is>
      </c>
      <c r="F53" s="14" t="inlineStr">
        <is>
          <t>No</t>
        </is>
      </c>
      <c r="G53" s="14" t="inlineStr">
        <is>
          <t>Microsoft Fabric (Free)</t>
        </is>
      </c>
      <c r="H53" s="14" t="inlineStr">
        <is>
          <t>Likely free / trial</t>
        </is>
      </c>
      <c r="I53" s="18">
        <f>IFERROR(VLOOKUP(G53,SKU_Cost_Input!$A$2:$E$16,4,FALSE),0)</f>
        <v/>
      </c>
      <c r="J53" s="14">
        <f>IFERROR(VLOOKUP(G53,SKU_Cost_Input!$A$2:$E$16,2,FALSE),0)</f>
        <v/>
      </c>
      <c r="K53" s="18">
        <f>IF(J53=0,0,I53/J53)</f>
        <v/>
      </c>
      <c r="L53" s="18">
        <f>K53</f>
        <v/>
      </c>
      <c r="M53" s="14" t="inlineStr">
        <is>
          <t>Exact company email match</t>
        </is>
      </c>
      <c r="N53" s="14" t="inlineStr"/>
    </row>
    <row r="54">
      <c r="A54" s="14" t="inlineStr">
        <is>
          <t>Bianka@WearCheckRS.com</t>
        </is>
      </c>
      <c r="B54" s="14" t="inlineStr">
        <is>
          <t>Bianka De Beer</t>
        </is>
      </c>
      <c r="C54" s="14" t="inlineStr">
        <is>
          <t>RS</t>
        </is>
      </c>
      <c r="D54" s="14" t="inlineStr">
        <is>
          <t>WEC142</t>
        </is>
      </c>
      <c r="E54" s="14" t="inlineStr">
        <is>
          <t>Matched</t>
        </is>
      </c>
      <c r="F54" s="14" t="inlineStr">
        <is>
          <t>No</t>
        </is>
      </c>
      <c r="G54" s="14" t="inlineStr">
        <is>
          <t>Microsoft Copilot Studio Viral Trial</t>
        </is>
      </c>
      <c r="H54" s="14" t="inlineStr">
        <is>
          <t>Likely free / trial</t>
        </is>
      </c>
      <c r="I54" s="18">
        <f>IFERROR(VLOOKUP(G54,SKU_Cost_Input!$A$2:$E$16,4,FALSE),0)</f>
        <v/>
      </c>
      <c r="J54" s="14">
        <f>IFERROR(VLOOKUP(G54,SKU_Cost_Input!$A$2:$E$16,2,FALSE),0)</f>
        <v/>
      </c>
      <c r="K54" s="18">
        <f>IF(J54=0,0,I54/J54)</f>
        <v/>
      </c>
      <c r="L54" s="18">
        <f>K54</f>
        <v/>
      </c>
      <c r="M54" s="14" t="inlineStr">
        <is>
          <t>Exact company email match</t>
        </is>
      </c>
      <c r="N54" s="14" t="inlineStr"/>
    </row>
    <row r="55">
      <c r="A55" s="14" t="inlineStr">
        <is>
          <t>Bianka@WearCheckRS.com</t>
        </is>
      </c>
      <c r="B55" s="14" t="inlineStr">
        <is>
          <t>Bianka De Beer</t>
        </is>
      </c>
      <c r="C55" s="14" t="inlineStr">
        <is>
          <t>RS</t>
        </is>
      </c>
      <c r="D55" s="14" t="inlineStr">
        <is>
          <t>WEC142</t>
        </is>
      </c>
      <c r="E55" s="14" t="inlineStr">
        <is>
          <t>Matched</t>
        </is>
      </c>
      <c r="F55" s="14" t="inlineStr">
        <is>
          <t>No</t>
        </is>
      </c>
      <c r="G55" s="14" t="inlineStr">
        <is>
          <t>Microsoft Power Apps for Developer</t>
        </is>
      </c>
      <c r="H55" s="14" t="inlineStr">
        <is>
          <t>Likely billable</t>
        </is>
      </c>
      <c r="I55" s="18">
        <f>IFERROR(VLOOKUP(G55,SKU_Cost_Input!$A$2:$E$16,4,FALSE),0)</f>
        <v/>
      </c>
      <c r="J55" s="14">
        <f>IFERROR(VLOOKUP(G55,SKU_Cost_Input!$A$2:$E$16,2,FALSE),0)</f>
        <v/>
      </c>
      <c r="K55" s="18">
        <f>IF(J55=0,0,I55/J55)</f>
        <v/>
      </c>
      <c r="L55" s="18">
        <f>K55</f>
        <v/>
      </c>
      <c r="M55" s="14" t="inlineStr">
        <is>
          <t>Exact company email match</t>
        </is>
      </c>
      <c r="N55" s="14" t="inlineStr"/>
    </row>
    <row r="56">
      <c r="A56" s="14" t="inlineStr">
        <is>
          <t>Bianka@WearCheckRS.com</t>
        </is>
      </c>
      <c r="B56" s="14" t="inlineStr">
        <is>
          <t>Bianka De Beer</t>
        </is>
      </c>
      <c r="C56" s="14" t="inlineStr">
        <is>
          <t>RS</t>
        </is>
      </c>
      <c r="D56" s="14" t="inlineStr">
        <is>
          <t>WEC142</t>
        </is>
      </c>
      <c r="E56" s="14" t="inlineStr">
        <is>
          <t>Matched</t>
        </is>
      </c>
      <c r="F56" s="14" t="inlineStr">
        <is>
          <t>No</t>
        </is>
      </c>
      <c r="G56" s="14" t="inlineStr">
        <is>
          <t>Power Pages vTrial for Makers</t>
        </is>
      </c>
      <c r="H56" s="14" t="inlineStr">
        <is>
          <t>Likely free / trial</t>
        </is>
      </c>
      <c r="I56" s="18">
        <f>IFERROR(VLOOKUP(G56,SKU_Cost_Input!$A$2:$E$16,4,FALSE),0)</f>
        <v/>
      </c>
      <c r="J56" s="14">
        <f>IFERROR(VLOOKUP(G56,SKU_Cost_Input!$A$2:$E$16,2,FALSE),0)</f>
        <v/>
      </c>
      <c r="K56" s="18">
        <f>IF(J56=0,0,I56/J56)</f>
        <v/>
      </c>
      <c r="L56" s="18">
        <f>K56</f>
        <v/>
      </c>
      <c r="M56" s="14" t="inlineStr">
        <is>
          <t>Exact company email match</t>
        </is>
      </c>
      <c r="N56" s="14" t="inlineStr"/>
    </row>
    <row r="57">
      <c r="A57" s="14" t="inlineStr">
        <is>
          <t>Bianka@WearCheckRS.com</t>
        </is>
      </c>
      <c r="B57" s="14" t="inlineStr">
        <is>
          <t>Bianka De Beer</t>
        </is>
      </c>
      <c r="C57" s="14" t="inlineStr">
        <is>
          <t>RS</t>
        </is>
      </c>
      <c r="D57" s="14" t="inlineStr">
        <is>
          <t>WEC142</t>
        </is>
      </c>
      <c r="E57" s="14" t="inlineStr">
        <is>
          <t>Matched</t>
        </is>
      </c>
      <c r="F57" s="14" t="inlineStr">
        <is>
          <t>No</t>
        </is>
      </c>
      <c r="G57" s="14" t="inlineStr">
        <is>
          <t>Microsoft Defender for Office 365 (Plan 2)</t>
        </is>
      </c>
      <c r="H57" s="14" t="inlineStr">
        <is>
          <t>Likely billable</t>
        </is>
      </c>
      <c r="I57" s="18">
        <f>IFERROR(VLOOKUP(G57,SKU_Cost_Input!$A$2:$E$16,4,FALSE),0)</f>
        <v/>
      </c>
      <c r="J57" s="14">
        <f>IFERROR(VLOOKUP(G57,SKU_Cost_Input!$A$2:$E$16,2,FALSE),0)</f>
        <v/>
      </c>
      <c r="K57" s="18">
        <f>IF(J57=0,0,I57/J57)</f>
        <v/>
      </c>
      <c r="L57" s="18">
        <f>K57</f>
        <v/>
      </c>
      <c r="M57" s="14" t="inlineStr">
        <is>
          <t>Exact company email match</t>
        </is>
      </c>
      <c r="N57" s="14" t="inlineStr"/>
    </row>
    <row r="58">
      <c r="A58" s="14" t="inlineStr">
        <is>
          <t>Bianka@WearCheckRS.com</t>
        </is>
      </c>
      <c r="B58" s="14" t="inlineStr">
        <is>
          <t>Bianka De Beer</t>
        </is>
      </c>
      <c r="C58" s="14" t="inlineStr">
        <is>
          <t>RS</t>
        </is>
      </c>
      <c r="D58" s="14" t="inlineStr">
        <is>
          <t>WEC142</t>
        </is>
      </c>
      <c r="E58" s="14" t="inlineStr">
        <is>
          <t>Matched</t>
        </is>
      </c>
      <c r="F58" s="14" t="inlineStr">
        <is>
          <t>No</t>
        </is>
      </c>
      <c r="G58" s="14" t="inlineStr">
        <is>
          <t>Dynamics 365 Customer Insights Self-Service</t>
        </is>
      </c>
      <c r="H58" s="14" t="inlineStr">
        <is>
          <t>Likely billable</t>
        </is>
      </c>
      <c r="I58" s="18">
        <f>IFERROR(VLOOKUP(G58,SKU_Cost_Input!$A$2:$E$16,4,FALSE),0)</f>
        <v/>
      </c>
      <c r="J58" s="14">
        <f>IFERROR(VLOOKUP(G58,SKU_Cost_Input!$A$2:$E$16,2,FALSE),0)</f>
        <v/>
      </c>
      <c r="K58" s="18">
        <f>IF(J58=0,0,I58/J58)</f>
        <v/>
      </c>
      <c r="L58" s="18">
        <f>K58</f>
        <v/>
      </c>
      <c r="M58" s="14" t="inlineStr">
        <is>
          <t>Exact company email match</t>
        </is>
      </c>
      <c r="N58" s="14" t="inlineStr"/>
    </row>
    <row r="59">
      <c r="A59" s="14" t="inlineStr">
        <is>
          <t>Bianka@WearCheckRS.com</t>
        </is>
      </c>
      <c r="B59" s="14" t="inlineStr">
        <is>
          <t>Bianka De Beer</t>
        </is>
      </c>
      <c r="C59" s="14" t="inlineStr">
        <is>
          <t>RS</t>
        </is>
      </c>
      <c r="D59" s="14" t="inlineStr">
        <is>
          <t>WEC142</t>
        </is>
      </c>
      <c r="E59" s="14" t="inlineStr">
        <is>
          <t>Matched</t>
        </is>
      </c>
      <c r="F59" s="14" t="inlineStr">
        <is>
          <t>No</t>
        </is>
      </c>
      <c r="G59" s="14" t="inlineStr">
        <is>
          <t>Microsoft 365 Business Premium</t>
        </is>
      </c>
      <c r="H59" s="14" t="inlineStr">
        <is>
          <t>Likely billable</t>
        </is>
      </c>
      <c r="I59" s="18">
        <f>IFERROR(VLOOKUP(G59,SKU_Cost_Input!$A$2:$E$16,4,FALSE),0)</f>
        <v/>
      </c>
      <c r="J59" s="14">
        <f>IFERROR(VLOOKUP(G59,SKU_Cost_Input!$A$2:$E$16,2,FALSE),0)</f>
        <v/>
      </c>
      <c r="K59" s="18">
        <f>IF(J59=0,0,I59/J59)</f>
        <v/>
      </c>
      <c r="L59" s="18">
        <f>K59</f>
        <v/>
      </c>
      <c r="M59" s="14" t="inlineStr">
        <is>
          <t>Exact company email match</t>
        </is>
      </c>
      <c r="N59" s="14" t="inlineStr">
        <is>
          <t>Review: Business Premium — consider Business Basic/Standard</t>
        </is>
      </c>
    </row>
    <row r="60">
      <c r="A60" s="14" t="inlineStr">
        <is>
          <t>Boitumelo@WearCheckRS.com</t>
        </is>
      </c>
      <c r="B60" s="14" t="inlineStr">
        <is>
          <t>Boitumelo Makgamatha</t>
        </is>
      </c>
      <c r="C60" s="14" t="inlineStr">
        <is>
          <t>RS</t>
        </is>
      </c>
      <c r="D60" s="14" t="inlineStr"/>
      <c r="E60" s="14" t="inlineStr">
        <is>
          <t>Confirmed</t>
        </is>
      </c>
      <c r="F60" s="14" t="inlineStr">
        <is>
          <t>No</t>
        </is>
      </c>
      <c r="G60" s="14" t="inlineStr">
        <is>
          <t>Microsoft Defender for Office 365 (Plan 2)</t>
        </is>
      </c>
      <c r="H60" s="14" t="inlineStr">
        <is>
          <t>Likely billable</t>
        </is>
      </c>
      <c r="I60" s="18">
        <f>IFERROR(VLOOKUP(G60,SKU_Cost_Input!$A$2:$E$16,4,FALSE),0)</f>
        <v/>
      </c>
      <c r="J60" s="14">
        <f>IFERROR(VLOOKUP(G60,SKU_Cost_Input!$A$2:$E$16,2,FALSE),0)</f>
        <v/>
      </c>
      <c r="K60" s="18">
        <f>IF(J60=0,0,I60/J60)</f>
        <v/>
      </c>
      <c r="L60" s="18">
        <f>K60</f>
        <v/>
      </c>
      <c r="M60" s="14" t="inlineStr">
        <is>
          <t>User now added to employee master (reviewed)</t>
        </is>
      </c>
      <c r="N60" s="14" t="inlineStr"/>
    </row>
    <row r="61">
      <c r="A61" s="14" t="inlineStr">
        <is>
          <t>Boitumelo@WearCheckRS.com</t>
        </is>
      </c>
      <c r="B61" s="14" t="inlineStr">
        <is>
          <t>Boitumelo Makgamatha</t>
        </is>
      </c>
      <c r="C61" s="14" t="inlineStr">
        <is>
          <t>RS</t>
        </is>
      </c>
      <c r="D61" s="14" t="inlineStr"/>
      <c r="E61" s="14" t="inlineStr">
        <is>
          <t>Confirmed</t>
        </is>
      </c>
      <c r="F61" s="14" t="inlineStr">
        <is>
          <t>No</t>
        </is>
      </c>
      <c r="G61" s="14" t="inlineStr">
        <is>
          <t>Microsoft 365 Business Standard</t>
        </is>
      </c>
      <c r="H61" s="14" t="inlineStr">
        <is>
          <t>Likely billable</t>
        </is>
      </c>
      <c r="I61" s="18">
        <f>IFERROR(VLOOKUP(G61,SKU_Cost_Input!$A$2:$E$16,4,FALSE),0)</f>
        <v/>
      </c>
      <c r="J61" s="14">
        <f>IFERROR(VLOOKUP(G61,SKU_Cost_Input!$A$2:$E$16,2,FALSE),0)</f>
        <v/>
      </c>
      <c r="K61" s="18">
        <f>IF(J61=0,0,I61/J61)</f>
        <v/>
      </c>
      <c r="L61" s="18">
        <f>K61</f>
        <v/>
      </c>
      <c r="M61" s="14" t="inlineStr">
        <is>
          <t>User now added to employee master (reviewed)</t>
        </is>
      </c>
      <c r="N61" s="14" t="inlineStr">
        <is>
          <t>Review: Business Standard — consider Business Basic if sufficient</t>
        </is>
      </c>
    </row>
    <row r="62">
      <c r="A62" s="14" t="inlineStr">
        <is>
          <t>chicco@WearCheckRS.com</t>
        </is>
      </c>
      <c r="B62" s="14" t="inlineStr">
        <is>
          <t>Chicco Tivane</t>
        </is>
      </c>
      <c r="C62" s="14" t="inlineStr">
        <is>
          <t>RS</t>
        </is>
      </c>
      <c r="D62" s="14" t="inlineStr">
        <is>
          <t>WC380</t>
        </is>
      </c>
      <c r="E62" s="14" t="inlineStr">
        <is>
          <t>Matched</t>
        </is>
      </c>
      <c r="F62" s="14" t="inlineStr">
        <is>
          <t>No</t>
        </is>
      </c>
      <c r="G62" s="14" t="inlineStr">
        <is>
          <t>Microsoft Defender for Office 365 (Plan 2)</t>
        </is>
      </c>
      <c r="H62" s="14" t="inlineStr">
        <is>
          <t>Likely billable</t>
        </is>
      </c>
      <c r="I62" s="18">
        <f>IFERROR(VLOOKUP(G62,SKU_Cost_Input!$A$2:$E$16,4,FALSE),0)</f>
        <v/>
      </c>
      <c r="J62" s="14">
        <f>IFERROR(VLOOKUP(G62,SKU_Cost_Input!$A$2:$E$16,2,FALSE),0)</f>
        <v/>
      </c>
      <c r="K62" s="18">
        <f>IF(J62=0,0,I62/J62)</f>
        <v/>
      </c>
      <c r="L62" s="18">
        <f>K62</f>
        <v/>
      </c>
      <c r="M62" s="14" t="inlineStr">
        <is>
          <t>Exact company email match</t>
        </is>
      </c>
      <c r="N62" s="14" t="inlineStr"/>
    </row>
    <row r="63">
      <c r="A63" s="14" t="inlineStr">
        <is>
          <t>chicco@WearCheckRS.com</t>
        </is>
      </c>
      <c r="B63" s="14" t="inlineStr">
        <is>
          <t>Chicco Tivane</t>
        </is>
      </c>
      <c r="C63" s="14" t="inlineStr">
        <is>
          <t>RS</t>
        </is>
      </c>
      <c r="D63" s="14" t="inlineStr">
        <is>
          <t>WC380</t>
        </is>
      </c>
      <c r="E63" s="14" t="inlineStr">
        <is>
          <t>Matched</t>
        </is>
      </c>
      <c r="F63" s="14" t="inlineStr">
        <is>
          <t>No</t>
        </is>
      </c>
      <c r="G63" s="14" t="inlineStr">
        <is>
          <t>Microsoft 365 Business Standard</t>
        </is>
      </c>
      <c r="H63" s="14" t="inlineStr">
        <is>
          <t>Likely billable</t>
        </is>
      </c>
      <c r="I63" s="18">
        <f>IFERROR(VLOOKUP(G63,SKU_Cost_Input!$A$2:$E$16,4,FALSE),0)</f>
        <v/>
      </c>
      <c r="J63" s="14">
        <f>IFERROR(VLOOKUP(G63,SKU_Cost_Input!$A$2:$E$16,2,FALSE),0)</f>
        <v/>
      </c>
      <c r="K63" s="18">
        <f>IF(J63=0,0,I63/J63)</f>
        <v/>
      </c>
      <c r="L63" s="18">
        <f>K63</f>
        <v/>
      </c>
      <c r="M63" s="14" t="inlineStr">
        <is>
          <t>Exact company email match</t>
        </is>
      </c>
      <c r="N63" s="14" t="inlineStr">
        <is>
          <t>Review: Business Standard — consider Business Basic if sufficient</t>
        </is>
      </c>
    </row>
    <row r="64">
      <c r="A64" s="14" t="inlineStr">
        <is>
          <t>ChrisM@wearcheckrs.com</t>
        </is>
      </c>
      <c r="B64" s="14" t="inlineStr">
        <is>
          <t>Chris Mostert</t>
        </is>
      </c>
      <c r="C64" s="14" t="inlineStr">
        <is>
          <t>RS</t>
        </is>
      </c>
      <c r="D64" s="14" t="inlineStr">
        <is>
          <t>WEC100</t>
        </is>
      </c>
      <c r="E64" s="14" t="inlineStr">
        <is>
          <t>Matched</t>
        </is>
      </c>
      <c r="F64" s="14" t="inlineStr">
        <is>
          <t>No</t>
        </is>
      </c>
      <c r="G64" s="14" t="inlineStr">
        <is>
          <t>Microsoft Defender for Office 365 (Plan 2)</t>
        </is>
      </c>
      <c r="H64" s="14" t="inlineStr">
        <is>
          <t>Likely billable</t>
        </is>
      </c>
      <c r="I64" s="18">
        <f>IFERROR(VLOOKUP(G64,SKU_Cost_Input!$A$2:$E$16,4,FALSE),0)</f>
        <v/>
      </c>
      <c r="J64" s="14">
        <f>IFERROR(VLOOKUP(G64,SKU_Cost_Input!$A$2:$E$16,2,FALSE),0)</f>
        <v/>
      </c>
      <c r="K64" s="18">
        <f>IF(J64=0,0,I64/J64)</f>
        <v/>
      </c>
      <c r="L64" s="18">
        <f>K64</f>
        <v/>
      </c>
      <c r="M64" s="14" t="inlineStr">
        <is>
          <t>Exact company email match</t>
        </is>
      </c>
      <c r="N64" s="14" t="inlineStr"/>
    </row>
    <row r="65">
      <c r="A65" s="14" t="inlineStr">
        <is>
          <t>ChrisM@wearcheckrs.com</t>
        </is>
      </c>
      <c r="B65" s="14" t="inlineStr">
        <is>
          <t>Chris Mostert</t>
        </is>
      </c>
      <c r="C65" s="14" t="inlineStr">
        <is>
          <t>RS</t>
        </is>
      </c>
      <c r="D65" s="14" t="inlineStr">
        <is>
          <t>WEC100</t>
        </is>
      </c>
      <c r="E65" s="14" t="inlineStr">
        <is>
          <t>Matched</t>
        </is>
      </c>
      <c r="F65" s="14" t="inlineStr">
        <is>
          <t>No</t>
        </is>
      </c>
      <c r="G65" s="14" t="inlineStr">
        <is>
          <t>Microsoft 365 Business Standard</t>
        </is>
      </c>
      <c r="H65" s="14" t="inlineStr">
        <is>
          <t>Likely billable</t>
        </is>
      </c>
      <c r="I65" s="18">
        <f>IFERROR(VLOOKUP(G65,SKU_Cost_Input!$A$2:$E$16,4,FALSE),0)</f>
        <v/>
      </c>
      <c r="J65" s="14">
        <f>IFERROR(VLOOKUP(G65,SKU_Cost_Input!$A$2:$E$16,2,FALSE),0)</f>
        <v/>
      </c>
      <c r="K65" s="18">
        <f>IF(J65=0,0,I65/J65)</f>
        <v/>
      </c>
      <c r="L65" s="18">
        <f>K65</f>
        <v/>
      </c>
      <c r="M65" s="14" t="inlineStr">
        <is>
          <t>Exact company email match</t>
        </is>
      </c>
      <c r="N65" s="14" t="inlineStr">
        <is>
          <t>Review: Business Standard — consider Business Basic if sufficient</t>
        </is>
      </c>
    </row>
    <row r="66">
      <c r="A66" s="14" t="inlineStr">
        <is>
          <t>Christene@WearCheckRS.com</t>
        </is>
      </c>
      <c r="B66" s="14" t="inlineStr">
        <is>
          <t>Christene Fourie</t>
        </is>
      </c>
      <c r="C66" s="14" t="inlineStr">
        <is>
          <t>RS</t>
        </is>
      </c>
      <c r="D66" s="14" t="inlineStr"/>
      <c r="E66" s="14" t="inlineStr">
        <is>
          <t>Confirmed</t>
        </is>
      </c>
      <c r="F66" s="14" t="inlineStr">
        <is>
          <t>No</t>
        </is>
      </c>
      <c r="G66" s="14" t="inlineStr">
        <is>
          <t>Microsoft Defender for Office 365 (Plan 2)</t>
        </is>
      </c>
      <c r="H66" s="14" t="inlineStr">
        <is>
          <t>Likely billable</t>
        </is>
      </c>
      <c r="I66" s="18">
        <f>IFERROR(VLOOKUP(G66,SKU_Cost_Input!$A$2:$E$16,4,FALSE),0)</f>
        <v/>
      </c>
      <c r="J66" s="14">
        <f>IFERROR(VLOOKUP(G66,SKU_Cost_Input!$A$2:$E$16,2,FALSE),0)</f>
        <v/>
      </c>
      <c r="K66" s="18">
        <f>IF(J66=0,0,I66/J66)</f>
        <v/>
      </c>
      <c r="L66" s="18">
        <f>K66</f>
        <v/>
      </c>
      <c r="M66" s="14" t="inlineStr">
        <is>
          <t>Confirmed email alias match to chrstene@wearcheckrs.com (reviewed)</t>
        </is>
      </c>
      <c r="N66" s="14" t="inlineStr"/>
    </row>
    <row r="67">
      <c r="A67" s="14" t="inlineStr">
        <is>
          <t>Christene@WearCheckRS.com</t>
        </is>
      </c>
      <c r="B67" s="14" t="inlineStr">
        <is>
          <t>Christene Fourie</t>
        </is>
      </c>
      <c r="C67" s="14" t="inlineStr">
        <is>
          <t>RS</t>
        </is>
      </c>
      <c r="D67" s="14" t="inlineStr"/>
      <c r="E67" s="14" t="inlineStr">
        <is>
          <t>Confirmed</t>
        </is>
      </c>
      <c r="F67" s="14" t="inlineStr">
        <is>
          <t>No</t>
        </is>
      </c>
      <c r="G67" s="14" t="inlineStr">
        <is>
          <t>Microsoft Power Automate Free</t>
        </is>
      </c>
      <c r="H67" s="14" t="inlineStr">
        <is>
          <t>Likely free / trial</t>
        </is>
      </c>
      <c r="I67" s="18">
        <f>IFERROR(VLOOKUP(G67,SKU_Cost_Input!$A$2:$E$16,4,FALSE),0)</f>
        <v/>
      </c>
      <c r="J67" s="14">
        <f>IFERROR(VLOOKUP(G67,SKU_Cost_Input!$A$2:$E$16,2,FALSE),0)</f>
        <v/>
      </c>
      <c r="K67" s="18">
        <f>IF(J67=0,0,I67/J67)</f>
        <v/>
      </c>
      <c r="L67" s="18">
        <f>K67</f>
        <v/>
      </c>
      <c r="M67" s="14" t="inlineStr">
        <is>
          <t>Confirmed email alias match to chrstene@wearcheckrs.com (reviewed)</t>
        </is>
      </c>
      <c r="N67" s="14" t="inlineStr"/>
    </row>
    <row r="68">
      <c r="A68" s="14" t="inlineStr">
        <is>
          <t>Christene@WearCheckRS.com</t>
        </is>
      </c>
      <c r="B68" s="14" t="inlineStr">
        <is>
          <t>Christene Fourie</t>
        </is>
      </c>
      <c r="C68" s="14" t="inlineStr">
        <is>
          <t>RS</t>
        </is>
      </c>
      <c r="D68" s="14" t="inlineStr"/>
      <c r="E68" s="14" t="inlineStr">
        <is>
          <t>Confirmed</t>
        </is>
      </c>
      <c r="F68" s="14" t="inlineStr">
        <is>
          <t>No</t>
        </is>
      </c>
      <c r="G68" s="14" t="inlineStr">
        <is>
          <t>Microsoft 365 Business Standard</t>
        </is>
      </c>
      <c r="H68" s="14" t="inlineStr">
        <is>
          <t>Likely billable</t>
        </is>
      </c>
      <c r="I68" s="18">
        <f>IFERROR(VLOOKUP(G68,SKU_Cost_Input!$A$2:$E$16,4,FALSE),0)</f>
        <v/>
      </c>
      <c r="J68" s="14">
        <f>IFERROR(VLOOKUP(G68,SKU_Cost_Input!$A$2:$E$16,2,FALSE),0)</f>
        <v/>
      </c>
      <c r="K68" s="18">
        <f>IF(J68=0,0,I68/J68)</f>
        <v/>
      </c>
      <c r="L68" s="18">
        <f>K68</f>
        <v/>
      </c>
      <c r="M68" s="14" t="inlineStr">
        <is>
          <t>Confirmed email alias match to chrstene@wearcheckrs.com (reviewed)</t>
        </is>
      </c>
      <c r="N68" s="14" t="inlineStr">
        <is>
          <t>Review: Business Standard — consider Business Basic if sufficient</t>
        </is>
      </c>
    </row>
    <row r="69">
      <c r="A69" s="14" t="inlineStr">
        <is>
          <t>Christian@WearCheckRS.com</t>
        </is>
      </c>
      <c r="B69" s="14" t="inlineStr">
        <is>
          <t>Christian Geel</t>
        </is>
      </c>
      <c r="C69" s="14" t="inlineStr">
        <is>
          <t>RS</t>
        </is>
      </c>
      <c r="D69" s="14" t="inlineStr"/>
      <c r="E69" s="14" t="inlineStr">
        <is>
          <t>Ex-Employee</t>
        </is>
      </c>
      <c r="F69" s="14" t="inlineStr">
        <is>
          <t>No</t>
        </is>
      </c>
      <c r="G69" s="14" t="inlineStr">
        <is>
          <t>Microsoft Fabric (Free)</t>
        </is>
      </c>
      <c r="H69" s="14" t="inlineStr">
        <is>
          <t>Likely free / trial</t>
        </is>
      </c>
      <c r="I69" s="18">
        <f>IFERROR(VLOOKUP(G69,SKU_Cost_Input!$A$2:$E$16,4,FALSE),0)</f>
        <v/>
      </c>
      <c r="J69" s="14">
        <f>IFERROR(VLOOKUP(G69,SKU_Cost_Input!$A$2:$E$16,2,FALSE),0)</f>
        <v/>
      </c>
      <c r="K69" s="18">
        <f>IF(J69=0,0,I69/J69)</f>
        <v/>
      </c>
      <c r="L69" s="18">
        <f>K69</f>
        <v/>
      </c>
      <c r="M69" s="14" t="inlineStr">
        <is>
          <t>No longer an employee. FLAG: Remove licence.</t>
        </is>
      </c>
      <c r="N69" s="14" t="inlineStr"/>
    </row>
    <row r="70">
      <c r="A70" s="14" t="inlineStr">
        <is>
          <t>Christian@WearCheckRS.com</t>
        </is>
      </c>
      <c r="B70" s="14" t="inlineStr">
        <is>
          <t>Christian Geel</t>
        </is>
      </c>
      <c r="C70" s="14" t="inlineStr">
        <is>
          <t>RS</t>
        </is>
      </c>
      <c r="D70" s="14" t="inlineStr"/>
      <c r="E70" s="14" t="inlineStr">
        <is>
          <t>Ex-Employee</t>
        </is>
      </c>
      <c r="F70" s="14" t="inlineStr">
        <is>
          <t>No</t>
        </is>
      </c>
      <c r="G70" s="14" t="inlineStr">
        <is>
          <t>Microsoft Power Automate Free</t>
        </is>
      </c>
      <c r="H70" s="14" t="inlineStr">
        <is>
          <t>Likely free / trial</t>
        </is>
      </c>
      <c r="I70" s="18">
        <f>IFERROR(VLOOKUP(G70,SKU_Cost_Input!$A$2:$E$16,4,FALSE),0)</f>
        <v/>
      </c>
      <c r="J70" s="14">
        <f>IFERROR(VLOOKUP(G70,SKU_Cost_Input!$A$2:$E$16,2,FALSE),0)</f>
        <v/>
      </c>
      <c r="K70" s="18">
        <f>IF(J70=0,0,I70/J70)</f>
        <v/>
      </c>
      <c r="L70" s="18">
        <f>K70</f>
        <v/>
      </c>
      <c r="M70" s="14" t="inlineStr">
        <is>
          <t>No longer an employee. FLAG: Remove licence.</t>
        </is>
      </c>
      <c r="N70" s="14" t="inlineStr"/>
    </row>
    <row r="71">
      <c r="A71" s="14" t="inlineStr">
        <is>
          <t>christie.samancor@WearCheckRS.com</t>
        </is>
      </c>
      <c r="B71" s="14" t="inlineStr">
        <is>
          <t>Christie</t>
        </is>
      </c>
      <c r="C71" s="14" t="inlineStr">
        <is>
          <t>RS</t>
        </is>
      </c>
      <c r="D71" s="14" t="inlineStr"/>
      <c r="E71" s="14" t="inlineStr">
        <is>
          <t>Management Review</t>
        </is>
      </c>
      <c r="F71" s="14" t="inlineStr">
        <is>
          <t>Yes</t>
        </is>
      </c>
      <c r="G71" s="14" t="inlineStr">
        <is>
          <t>Microsoft Fabric (Free)</t>
        </is>
      </c>
      <c r="H71" s="14" t="inlineStr">
        <is>
          <t>Likely free / trial</t>
        </is>
      </c>
      <c r="I71" s="18">
        <f>IFERROR(VLOOKUP(G71,SKU_Cost_Input!$A$2:$E$16,4,FALSE),0)</f>
        <v/>
      </c>
      <c r="J71" s="14">
        <f>IFERROR(VLOOKUP(G71,SKU_Cost_Input!$A$2:$E$16,2,FALSE),0)</f>
        <v/>
      </c>
      <c r="K71" s="18">
        <f>IF(J71=0,0,I71/J71)</f>
        <v/>
      </c>
      <c r="L71" s="18">
        <f>K71</f>
        <v/>
      </c>
      <c r="M71" s="14" t="inlineStr">
        <is>
          <t>Not an employee — has free Fabric licence only. Flagged for management review.</t>
        </is>
      </c>
      <c r="N71" s="14" t="inlineStr"/>
    </row>
    <row r="72">
      <c r="A72" s="14" t="inlineStr">
        <is>
          <t>cj@WearCheckRS.com</t>
        </is>
      </c>
      <c r="B72" s="14" t="inlineStr">
        <is>
          <t>CJ Woller</t>
        </is>
      </c>
      <c r="C72" s="14" t="inlineStr">
        <is>
          <t>RS</t>
        </is>
      </c>
      <c r="D72" s="14" t="inlineStr">
        <is>
          <t>WEC120</t>
        </is>
      </c>
      <c r="E72" s="14" t="inlineStr">
        <is>
          <t>Matched</t>
        </is>
      </c>
      <c r="F72" s="14" t="inlineStr">
        <is>
          <t>No</t>
        </is>
      </c>
      <c r="G72" s="14" t="inlineStr">
        <is>
          <t>Microsoft Defender for Office 365 (Plan 2)</t>
        </is>
      </c>
      <c r="H72" s="14" t="inlineStr">
        <is>
          <t>Likely billable</t>
        </is>
      </c>
      <c r="I72" s="18">
        <f>IFERROR(VLOOKUP(G72,SKU_Cost_Input!$A$2:$E$16,4,FALSE),0)</f>
        <v/>
      </c>
      <c r="J72" s="14">
        <f>IFERROR(VLOOKUP(G72,SKU_Cost_Input!$A$2:$E$16,2,FALSE),0)</f>
        <v/>
      </c>
      <c r="K72" s="18">
        <f>IF(J72=0,0,I72/J72)</f>
        <v/>
      </c>
      <c r="L72" s="18">
        <f>K72</f>
        <v/>
      </c>
      <c r="M72" s="14" t="inlineStr">
        <is>
          <t>Exact company email match</t>
        </is>
      </c>
      <c r="N72" s="14" t="inlineStr"/>
    </row>
    <row r="73">
      <c r="A73" s="14" t="inlineStr">
        <is>
          <t>cj@WearCheckRS.com</t>
        </is>
      </c>
      <c r="B73" s="14" t="inlineStr">
        <is>
          <t>CJ Woller</t>
        </is>
      </c>
      <c r="C73" s="14" t="inlineStr">
        <is>
          <t>RS</t>
        </is>
      </c>
      <c r="D73" s="14" t="inlineStr">
        <is>
          <t>WEC120</t>
        </is>
      </c>
      <c r="E73" s="14" t="inlineStr">
        <is>
          <t>Matched</t>
        </is>
      </c>
      <c r="F73" s="14" t="inlineStr">
        <is>
          <t>No</t>
        </is>
      </c>
      <c r="G73" s="14" t="inlineStr">
        <is>
          <t>Microsoft Power Automate Free</t>
        </is>
      </c>
      <c r="H73" s="14" t="inlineStr">
        <is>
          <t>Likely free / trial</t>
        </is>
      </c>
      <c r="I73" s="18">
        <f>IFERROR(VLOOKUP(G73,SKU_Cost_Input!$A$2:$E$16,4,FALSE),0)</f>
        <v/>
      </c>
      <c r="J73" s="14">
        <f>IFERROR(VLOOKUP(G73,SKU_Cost_Input!$A$2:$E$16,2,FALSE),0)</f>
        <v/>
      </c>
      <c r="K73" s="18">
        <f>IF(J73=0,0,I73/J73)</f>
        <v/>
      </c>
      <c r="L73" s="18">
        <f>K73</f>
        <v/>
      </c>
      <c r="M73" s="14" t="inlineStr">
        <is>
          <t>Exact company email match</t>
        </is>
      </c>
      <c r="N73" s="14" t="inlineStr"/>
    </row>
    <row r="74">
      <c r="A74" s="14" t="inlineStr">
        <is>
          <t>cj@WearCheckRS.com</t>
        </is>
      </c>
      <c r="B74" s="14" t="inlineStr">
        <is>
          <t>CJ Woller</t>
        </is>
      </c>
      <c r="C74" s="14" t="inlineStr">
        <is>
          <t>RS</t>
        </is>
      </c>
      <c r="D74" s="14" t="inlineStr">
        <is>
          <t>WEC120</t>
        </is>
      </c>
      <c r="E74" s="14" t="inlineStr">
        <is>
          <t>Matched</t>
        </is>
      </c>
      <c r="F74" s="14" t="inlineStr">
        <is>
          <t>No</t>
        </is>
      </c>
      <c r="G74" s="14" t="inlineStr">
        <is>
          <t>Microsoft 365 Business Standard</t>
        </is>
      </c>
      <c r="H74" s="14" t="inlineStr">
        <is>
          <t>Likely billable</t>
        </is>
      </c>
      <c r="I74" s="18">
        <f>IFERROR(VLOOKUP(G74,SKU_Cost_Input!$A$2:$E$16,4,FALSE),0)</f>
        <v/>
      </c>
      <c r="J74" s="14">
        <f>IFERROR(VLOOKUP(G74,SKU_Cost_Input!$A$2:$E$16,2,FALSE),0)</f>
        <v/>
      </c>
      <c r="K74" s="18">
        <f>IF(J74=0,0,I74/J74)</f>
        <v/>
      </c>
      <c r="L74" s="18">
        <f>K74</f>
        <v/>
      </c>
      <c r="M74" s="14" t="inlineStr">
        <is>
          <t>Exact company email match</t>
        </is>
      </c>
      <c r="N74" s="14" t="inlineStr">
        <is>
          <t>Review: Business Standard — consider Business Basic if sufficient</t>
        </is>
      </c>
    </row>
    <row r="75">
      <c r="A75" s="14" t="inlineStr">
        <is>
          <t>colleen.pyper@WearCheckRS.com</t>
        </is>
      </c>
      <c r="B75" s="14" t="inlineStr">
        <is>
          <t>Colleen Pyper</t>
        </is>
      </c>
      <c r="C75" s="14" t="inlineStr">
        <is>
          <t>AFS</t>
        </is>
      </c>
      <c r="D75" s="14" t="inlineStr">
        <is>
          <t>WC486</t>
        </is>
      </c>
      <c r="E75" s="14" t="inlineStr">
        <is>
          <t>Matched</t>
        </is>
      </c>
      <c r="F75" s="14" t="inlineStr">
        <is>
          <t>No</t>
        </is>
      </c>
      <c r="G75" s="14" t="inlineStr">
        <is>
          <t>Microsoft Defender for Office 365 (Plan 2)</t>
        </is>
      </c>
      <c r="H75" s="14" t="inlineStr">
        <is>
          <t>Likely billable</t>
        </is>
      </c>
      <c r="I75" s="18">
        <f>IFERROR(VLOOKUP(G75,SKU_Cost_Input!$A$2:$E$16,4,FALSE),0)</f>
        <v/>
      </c>
      <c r="J75" s="14">
        <f>IFERROR(VLOOKUP(G75,SKU_Cost_Input!$A$2:$E$16,2,FALSE),0)</f>
        <v/>
      </c>
      <c r="K75" s="18">
        <f>IF(J75=0,0,I75/J75)</f>
        <v/>
      </c>
      <c r="L75" s="18">
        <f>K75</f>
        <v/>
      </c>
      <c r="M75" s="14" t="inlineStr">
        <is>
          <t>Exact company email match</t>
        </is>
      </c>
      <c r="N75" s="14" t="inlineStr"/>
    </row>
    <row r="76">
      <c r="A76" s="14" t="inlineStr">
        <is>
          <t>colleen.pyper@WearCheckRS.com</t>
        </is>
      </c>
      <c r="B76" s="14" t="inlineStr">
        <is>
          <t>Colleen Pyper</t>
        </is>
      </c>
      <c r="C76" s="14" t="inlineStr">
        <is>
          <t>AFS</t>
        </is>
      </c>
      <c r="D76" s="14" t="inlineStr">
        <is>
          <t>WC486</t>
        </is>
      </c>
      <c r="E76" s="14" t="inlineStr">
        <is>
          <t>Matched</t>
        </is>
      </c>
      <c r="F76" s="14" t="inlineStr">
        <is>
          <t>No</t>
        </is>
      </c>
      <c r="G76" s="14" t="inlineStr">
        <is>
          <t>Microsoft Power Automate Free</t>
        </is>
      </c>
      <c r="H76" s="14" t="inlineStr">
        <is>
          <t>Likely free / trial</t>
        </is>
      </c>
      <c r="I76" s="18">
        <f>IFERROR(VLOOKUP(G76,SKU_Cost_Input!$A$2:$E$16,4,FALSE),0)</f>
        <v/>
      </c>
      <c r="J76" s="14">
        <f>IFERROR(VLOOKUP(G76,SKU_Cost_Input!$A$2:$E$16,2,FALSE),0)</f>
        <v/>
      </c>
      <c r="K76" s="18">
        <f>IF(J76=0,0,I76/J76)</f>
        <v/>
      </c>
      <c r="L76" s="18">
        <f>K76</f>
        <v/>
      </c>
      <c r="M76" s="14" t="inlineStr">
        <is>
          <t>Exact company email match</t>
        </is>
      </c>
      <c r="N76" s="14" t="inlineStr"/>
    </row>
    <row r="77">
      <c r="A77" s="14" t="inlineStr">
        <is>
          <t>colleen.pyper@WearCheckRS.com</t>
        </is>
      </c>
      <c r="B77" s="14" t="inlineStr">
        <is>
          <t>Colleen Pyper</t>
        </is>
      </c>
      <c r="C77" s="14" t="inlineStr">
        <is>
          <t>AFS</t>
        </is>
      </c>
      <c r="D77" s="14" t="inlineStr">
        <is>
          <t>WC486</t>
        </is>
      </c>
      <c r="E77" s="14" t="inlineStr">
        <is>
          <t>Matched</t>
        </is>
      </c>
      <c r="F77" s="14" t="inlineStr">
        <is>
          <t>No</t>
        </is>
      </c>
      <c r="G77" s="14" t="inlineStr">
        <is>
          <t>Microsoft 365 Business Standard</t>
        </is>
      </c>
      <c r="H77" s="14" t="inlineStr">
        <is>
          <t>Likely billable</t>
        </is>
      </c>
      <c r="I77" s="18">
        <f>IFERROR(VLOOKUP(G77,SKU_Cost_Input!$A$2:$E$16,4,FALSE),0)</f>
        <v/>
      </c>
      <c r="J77" s="14">
        <f>IFERROR(VLOOKUP(G77,SKU_Cost_Input!$A$2:$E$16,2,FALSE),0)</f>
        <v/>
      </c>
      <c r="K77" s="18">
        <f>IF(J77=0,0,I77/J77)</f>
        <v/>
      </c>
      <c r="L77" s="18">
        <f>K77</f>
        <v/>
      </c>
      <c r="M77" s="14" t="inlineStr">
        <is>
          <t>Exact company email match</t>
        </is>
      </c>
      <c r="N77" s="14" t="inlineStr">
        <is>
          <t>Review: Business Standard — consider Business Basic if sufficient</t>
        </is>
      </c>
    </row>
    <row r="78">
      <c r="A78" s="14" t="inlineStr">
        <is>
          <t>daniel@WearCheckRS.com</t>
        </is>
      </c>
      <c r="B78" s="14" t="inlineStr">
        <is>
          <t>Daniel Molapo</t>
        </is>
      </c>
      <c r="C78" s="14" t="inlineStr">
        <is>
          <t>RS</t>
        </is>
      </c>
      <c r="D78" s="14" t="inlineStr">
        <is>
          <t>WC402</t>
        </is>
      </c>
      <c r="E78" s="14" t="inlineStr">
        <is>
          <t>Matched</t>
        </is>
      </c>
      <c r="F78" s="14" t="inlineStr">
        <is>
          <t>No</t>
        </is>
      </c>
      <c r="G78" s="14" t="inlineStr">
        <is>
          <t>Microsoft Defender for Office 365 (Plan 2)</t>
        </is>
      </c>
      <c r="H78" s="14" t="inlineStr">
        <is>
          <t>Likely billable</t>
        </is>
      </c>
      <c r="I78" s="18">
        <f>IFERROR(VLOOKUP(G78,SKU_Cost_Input!$A$2:$E$16,4,FALSE),0)</f>
        <v/>
      </c>
      <c r="J78" s="14">
        <f>IFERROR(VLOOKUP(G78,SKU_Cost_Input!$A$2:$E$16,2,FALSE),0)</f>
        <v/>
      </c>
      <c r="K78" s="18">
        <f>IF(J78=0,0,I78/J78)</f>
        <v/>
      </c>
      <c r="L78" s="18">
        <f>K78</f>
        <v/>
      </c>
      <c r="M78" s="14" t="inlineStr">
        <is>
          <t>Exact company email match</t>
        </is>
      </c>
      <c r="N78" s="14" t="inlineStr"/>
    </row>
    <row r="79">
      <c r="A79" s="14" t="inlineStr">
        <is>
          <t>daniel@WearCheckRS.com</t>
        </is>
      </c>
      <c r="B79" s="14" t="inlineStr">
        <is>
          <t>Daniel Molapo</t>
        </is>
      </c>
      <c r="C79" s="14" t="inlineStr">
        <is>
          <t>RS</t>
        </is>
      </c>
      <c r="D79" s="14" t="inlineStr">
        <is>
          <t>WC402</t>
        </is>
      </c>
      <c r="E79" s="14" t="inlineStr">
        <is>
          <t>Matched</t>
        </is>
      </c>
      <c r="F79" s="14" t="inlineStr">
        <is>
          <t>No</t>
        </is>
      </c>
      <c r="G79" s="14" t="inlineStr">
        <is>
          <t>Microsoft 365 E3</t>
        </is>
      </c>
      <c r="H79" s="14" t="inlineStr">
        <is>
          <t>Likely billable</t>
        </is>
      </c>
      <c r="I79" s="18">
        <f>IFERROR(VLOOKUP(G79,SKU_Cost_Input!$A$2:$E$16,4,FALSE),0)</f>
        <v/>
      </c>
      <c r="J79" s="14">
        <f>IFERROR(VLOOKUP(G79,SKU_Cost_Input!$A$2:$E$16,2,FALSE),0)</f>
        <v/>
      </c>
      <c r="K79" s="18">
        <f>IF(J79=0,0,I79/J79)</f>
        <v/>
      </c>
      <c r="L79" s="18">
        <f>K79</f>
        <v/>
      </c>
      <c r="M79" s="14" t="inlineStr">
        <is>
          <t>Exact company email match</t>
        </is>
      </c>
      <c r="N79" s="14" t="inlineStr">
        <is>
          <t>Review: E3 may be downgradeable to E1 or Business Basic</t>
        </is>
      </c>
    </row>
    <row r="80">
      <c r="A80" s="14" t="inlineStr">
        <is>
          <t>daniel@WearCheckRS.com</t>
        </is>
      </c>
      <c r="B80" s="14" t="inlineStr">
        <is>
          <t>Daniel Molapo</t>
        </is>
      </c>
      <c r="C80" s="14" t="inlineStr">
        <is>
          <t>RS</t>
        </is>
      </c>
      <c r="D80" s="14" t="inlineStr">
        <is>
          <t>WC402</t>
        </is>
      </c>
      <c r="E80" s="14" t="inlineStr">
        <is>
          <t>Matched</t>
        </is>
      </c>
      <c r="F80" s="14" t="inlineStr">
        <is>
          <t>No</t>
        </is>
      </c>
      <c r="G80" s="14" t="inlineStr">
        <is>
          <t>Microsoft Fabric (Free)</t>
        </is>
      </c>
      <c r="H80" s="14" t="inlineStr">
        <is>
          <t>Likely free / trial</t>
        </is>
      </c>
      <c r="I80" s="18">
        <f>IFERROR(VLOOKUP(G80,SKU_Cost_Input!$A$2:$E$16,4,FALSE),0)</f>
        <v/>
      </c>
      <c r="J80" s="14">
        <f>IFERROR(VLOOKUP(G80,SKU_Cost_Input!$A$2:$E$16,2,FALSE),0)</f>
        <v/>
      </c>
      <c r="K80" s="18">
        <f>IF(J80=0,0,I80/J80)</f>
        <v/>
      </c>
      <c r="L80" s="18">
        <f>K80</f>
        <v/>
      </c>
      <c r="M80" s="14" t="inlineStr">
        <is>
          <t>Exact company email match</t>
        </is>
      </c>
      <c r="N80" s="14" t="inlineStr"/>
    </row>
    <row r="81">
      <c r="A81" s="14" t="inlineStr">
        <is>
          <t>daniel@WearCheckRS.com</t>
        </is>
      </c>
      <c r="B81" s="14" t="inlineStr">
        <is>
          <t>Daniel Molapo</t>
        </is>
      </c>
      <c r="C81" s="14" t="inlineStr">
        <is>
          <t>RS</t>
        </is>
      </c>
      <c r="D81" s="14" t="inlineStr">
        <is>
          <t>WC402</t>
        </is>
      </c>
      <c r="E81" s="14" t="inlineStr">
        <is>
          <t>Matched</t>
        </is>
      </c>
      <c r="F81" s="14" t="inlineStr">
        <is>
          <t>No</t>
        </is>
      </c>
      <c r="G81" s="14" t="inlineStr">
        <is>
          <t>Microsoft Power Automate Free</t>
        </is>
      </c>
      <c r="H81" s="14" t="inlineStr">
        <is>
          <t>Likely free / trial</t>
        </is>
      </c>
      <c r="I81" s="18">
        <f>IFERROR(VLOOKUP(G81,SKU_Cost_Input!$A$2:$E$16,4,FALSE),0)</f>
        <v/>
      </c>
      <c r="J81" s="14">
        <f>IFERROR(VLOOKUP(G81,SKU_Cost_Input!$A$2:$E$16,2,FALSE),0)</f>
        <v/>
      </c>
      <c r="K81" s="18">
        <f>IF(J81=0,0,I81/J81)</f>
        <v/>
      </c>
      <c r="L81" s="18">
        <f>K81</f>
        <v/>
      </c>
      <c r="M81" s="14" t="inlineStr">
        <is>
          <t>Exact company email match</t>
        </is>
      </c>
      <c r="N81" s="14" t="inlineStr"/>
    </row>
    <row r="82">
      <c r="A82" s="14" t="inlineStr">
        <is>
          <t>DavidL@WearCheckRS.com</t>
        </is>
      </c>
      <c r="B82" s="14" t="inlineStr">
        <is>
          <t>David Lipange</t>
        </is>
      </c>
      <c r="C82" s="14" t="inlineStr">
        <is>
          <t>Mozambique</t>
        </is>
      </c>
      <c r="D82" s="14" t="inlineStr">
        <is>
          <t>Unknown</t>
        </is>
      </c>
      <c r="E82" s="14" t="inlineStr">
        <is>
          <t>Matched</t>
        </is>
      </c>
      <c r="F82" s="14" t="inlineStr">
        <is>
          <t>No</t>
        </is>
      </c>
      <c r="G82" s="14" t="inlineStr">
        <is>
          <t>Microsoft Defender for Office 365 (Plan 2)</t>
        </is>
      </c>
      <c r="H82" s="14" t="inlineStr">
        <is>
          <t>Likely billable</t>
        </is>
      </c>
      <c r="I82" s="18">
        <f>IFERROR(VLOOKUP(G82,SKU_Cost_Input!$A$2:$E$16,4,FALSE),0)</f>
        <v/>
      </c>
      <c r="J82" s="14">
        <f>IFERROR(VLOOKUP(G82,SKU_Cost_Input!$A$2:$E$16,2,FALSE),0)</f>
        <v/>
      </c>
      <c r="K82" s="18">
        <f>IF(J82=0,0,I82/J82)</f>
        <v/>
      </c>
      <c r="L82" s="18">
        <f>K82</f>
        <v/>
      </c>
      <c r="M82" s="14" t="inlineStr">
        <is>
          <t>Exact company email match</t>
        </is>
      </c>
      <c r="N82" s="14" t="inlineStr"/>
    </row>
    <row r="83">
      <c r="A83" s="14" t="inlineStr">
        <is>
          <t>DavidL@WearCheckRS.com</t>
        </is>
      </c>
      <c r="B83" s="14" t="inlineStr">
        <is>
          <t>David Lipange</t>
        </is>
      </c>
      <c r="C83" s="14" t="inlineStr">
        <is>
          <t>Mozambique</t>
        </is>
      </c>
      <c r="D83" s="14" t="inlineStr">
        <is>
          <t>Unknown</t>
        </is>
      </c>
      <c r="E83" s="14" t="inlineStr">
        <is>
          <t>Matched</t>
        </is>
      </c>
      <c r="F83" s="14" t="inlineStr">
        <is>
          <t>No</t>
        </is>
      </c>
      <c r="G83" s="14" t="inlineStr">
        <is>
          <t>Microsoft Fabric (Free)</t>
        </is>
      </c>
      <c r="H83" s="14" t="inlineStr">
        <is>
          <t>Likely free / trial</t>
        </is>
      </c>
      <c r="I83" s="18">
        <f>IFERROR(VLOOKUP(G83,SKU_Cost_Input!$A$2:$E$16,4,FALSE),0)</f>
        <v/>
      </c>
      <c r="J83" s="14">
        <f>IFERROR(VLOOKUP(G83,SKU_Cost_Input!$A$2:$E$16,2,FALSE),0)</f>
        <v/>
      </c>
      <c r="K83" s="18">
        <f>IF(J83=0,0,I83/J83)</f>
        <v/>
      </c>
      <c r="L83" s="18">
        <f>K83</f>
        <v/>
      </c>
      <c r="M83" s="14" t="inlineStr">
        <is>
          <t>Exact company email match</t>
        </is>
      </c>
      <c r="N83" s="14" t="inlineStr"/>
    </row>
    <row r="84">
      <c r="A84" s="14" t="inlineStr">
        <is>
          <t>DavidL@WearCheckRS.com</t>
        </is>
      </c>
      <c r="B84" s="14" t="inlineStr">
        <is>
          <t>David Lipange</t>
        </is>
      </c>
      <c r="C84" s="14" t="inlineStr">
        <is>
          <t>Mozambique</t>
        </is>
      </c>
      <c r="D84" s="14" t="inlineStr">
        <is>
          <t>Unknown</t>
        </is>
      </c>
      <c r="E84" s="14" t="inlineStr">
        <is>
          <t>Matched</t>
        </is>
      </c>
      <c r="F84" s="14" t="inlineStr">
        <is>
          <t>No</t>
        </is>
      </c>
      <c r="G84" s="14" t="inlineStr">
        <is>
          <t>Microsoft 365 Business Standard</t>
        </is>
      </c>
      <c r="H84" s="14" t="inlineStr">
        <is>
          <t>Likely billable</t>
        </is>
      </c>
      <c r="I84" s="18">
        <f>IFERROR(VLOOKUP(G84,SKU_Cost_Input!$A$2:$E$16,4,FALSE),0)</f>
        <v/>
      </c>
      <c r="J84" s="14">
        <f>IFERROR(VLOOKUP(G84,SKU_Cost_Input!$A$2:$E$16,2,FALSE),0)</f>
        <v/>
      </c>
      <c r="K84" s="18">
        <f>IF(J84=0,0,I84/J84)</f>
        <v/>
      </c>
      <c r="L84" s="18">
        <f>K84</f>
        <v/>
      </c>
      <c r="M84" s="14" t="inlineStr">
        <is>
          <t>Exact company email match</t>
        </is>
      </c>
      <c r="N84" s="14" t="inlineStr">
        <is>
          <t>Review: Business Standard — consider Business Basic if sufficient</t>
        </is>
      </c>
    </row>
    <row r="85">
      <c r="A85" s="14" t="inlineStr">
        <is>
          <t>David@WearCheckRS.com</t>
        </is>
      </c>
      <c r="B85" s="14" t="inlineStr">
        <is>
          <t>David Viljoen</t>
        </is>
      </c>
      <c r="C85" s="14" t="inlineStr">
        <is>
          <t>RS</t>
        </is>
      </c>
      <c r="D85" s="14" t="inlineStr">
        <is>
          <t>WEC081</t>
        </is>
      </c>
      <c r="E85" s="14" t="inlineStr">
        <is>
          <t>Matched</t>
        </is>
      </c>
      <c r="F85" s="14" t="inlineStr">
        <is>
          <t>No</t>
        </is>
      </c>
      <c r="G85" s="14" t="inlineStr">
        <is>
          <t>Microsoft Defender for Office 365 (Plan 2)</t>
        </is>
      </c>
      <c r="H85" s="14" t="inlineStr">
        <is>
          <t>Likely billable</t>
        </is>
      </c>
      <c r="I85" s="18">
        <f>IFERROR(VLOOKUP(G85,SKU_Cost_Input!$A$2:$E$16,4,FALSE),0)</f>
        <v/>
      </c>
      <c r="J85" s="14">
        <f>IFERROR(VLOOKUP(G85,SKU_Cost_Input!$A$2:$E$16,2,FALSE),0)</f>
        <v/>
      </c>
      <c r="K85" s="18">
        <f>IF(J85=0,0,I85/J85)</f>
        <v/>
      </c>
      <c r="L85" s="18">
        <f>K85</f>
        <v/>
      </c>
      <c r="M85" s="14" t="inlineStr">
        <is>
          <t>Exact company email match</t>
        </is>
      </c>
      <c r="N85" s="14" t="inlineStr"/>
    </row>
    <row r="86">
      <c r="A86" s="14" t="inlineStr">
        <is>
          <t>David@WearCheckRS.com</t>
        </is>
      </c>
      <c r="B86" s="14" t="inlineStr">
        <is>
          <t>David Viljoen</t>
        </is>
      </c>
      <c r="C86" s="14" t="inlineStr">
        <is>
          <t>RS</t>
        </is>
      </c>
      <c r="D86" s="14" t="inlineStr">
        <is>
          <t>WEC081</t>
        </is>
      </c>
      <c r="E86" s="14" t="inlineStr">
        <is>
          <t>Matched</t>
        </is>
      </c>
      <c r="F86" s="14" t="inlineStr">
        <is>
          <t>No</t>
        </is>
      </c>
      <c r="G86" s="14" t="inlineStr">
        <is>
          <t>Microsoft Fabric (Free)</t>
        </is>
      </c>
      <c r="H86" s="14" t="inlineStr">
        <is>
          <t>Likely free / trial</t>
        </is>
      </c>
      <c r="I86" s="18">
        <f>IFERROR(VLOOKUP(G86,SKU_Cost_Input!$A$2:$E$16,4,FALSE),0)</f>
        <v/>
      </c>
      <c r="J86" s="14">
        <f>IFERROR(VLOOKUP(G86,SKU_Cost_Input!$A$2:$E$16,2,FALSE),0)</f>
        <v/>
      </c>
      <c r="K86" s="18">
        <f>IF(J86=0,0,I86/J86)</f>
        <v/>
      </c>
      <c r="L86" s="18">
        <f>K86</f>
        <v/>
      </c>
      <c r="M86" s="14" t="inlineStr">
        <is>
          <t>Exact company email match</t>
        </is>
      </c>
      <c r="N86" s="14" t="inlineStr"/>
    </row>
    <row r="87">
      <c r="A87" s="14" t="inlineStr">
        <is>
          <t>David@WearCheckRS.com</t>
        </is>
      </c>
      <c r="B87" s="14" t="inlineStr">
        <is>
          <t>David Viljoen</t>
        </is>
      </c>
      <c r="C87" s="14" t="inlineStr">
        <is>
          <t>RS</t>
        </is>
      </c>
      <c r="D87" s="14" t="inlineStr">
        <is>
          <t>WEC081</t>
        </is>
      </c>
      <c r="E87" s="14" t="inlineStr">
        <is>
          <t>Matched</t>
        </is>
      </c>
      <c r="F87" s="14" t="inlineStr">
        <is>
          <t>No</t>
        </is>
      </c>
      <c r="G87" s="14" t="inlineStr">
        <is>
          <t>Microsoft 365 Business Standard</t>
        </is>
      </c>
      <c r="H87" s="14" t="inlineStr">
        <is>
          <t>Likely billable</t>
        </is>
      </c>
      <c r="I87" s="18">
        <f>IFERROR(VLOOKUP(G87,SKU_Cost_Input!$A$2:$E$16,4,FALSE),0)</f>
        <v/>
      </c>
      <c r="J87" s="14">
        <f>IFERROR(VLOOKUP(G87,SKU_Cost_Input!$A$2:$E$16,2,FALSE),0)</f>
        <v/>
      </c>
      <c r="K87" s="18">
        <f>IF(J87=0,0,I87/J87)</f>
        <v/>
      </c>
      <c r="L87" s="18">
        <f>K87</f>
        <v/>
      </c>
      <c r="M87" s="14" t="inlineStr">
        <is>
          <t>Exact company email match</t>
        </is>
      </c>
      <c r="N87" s="14" t="inlineStr">
        <is>
          <t>Review: Business Standard — consider Business Basic if sufficient</t>
        </is>
      </c>
    </row>
    <row r="88">
      <c r="A88" s="14" t="inlineStr">
        <is>
          <t>David@WearCheckRS.com</t>
        </is>
      </c>
      <c r="B88" s="14" t="inlineStr">
        <is>
          <t>David Viljoen</t>
        </is>
      </c>
      <c r="C88" s="14" t="inlineStr">
        <is>
          <t>RS</t>
        </is>
      </c>
      <c r="D88" s="14" t="inlineStr">
        <is>
          <t>WEC081</t>
        </is>
      </c>
      <c r="E88" s="14" t="inlineStr">
        <is>
          <t>Matched</t>
        </is>
      </c>
      <c r="F88" s="14" t="inlineStr">
        <is>
          <t>No</t>
        </is>
      </c>
      <c r="G88" s="14" t="inlineStr">
        <is>
          <t>Microsoft Power Automate Free</t>
        </is>
      </c>
      <c r="H88" s="14" t="inlineStr">
        <is>
          <t>Likely free / trial</t>
        </is>
      </c>
      <c r="I88" s="18">
        <f>IFERROR(VLOOKUP(G88,SKU_Cost_Input!$A$2:$E$16,4,FALSE),0)</f>
        <v/>
      </c>
      <c r="J88" s="14">
        <f>IFERROR(VLOOKUP(G88,SKU_Cost_Input!$A$2:$E$16,2,FALSE),0)</f>
        <v/>
      </c>
      <c r="K88" s="18">
        <f>IF(J88=0,0,I88/J88)</f>
        <v/>
      </c>
      <c r="L88" s="18">
        <f>K88</f>
        <v/>
      </c>
      <c r="M88" s="14" t="inlineStr">
        <is>
          <t>Exact company email match</t>
        </is>
      </c>
      <c r="N88" s="14" t="inlineStr"/>
    </row>
    <row r="89">
      <c r="A89" s="14" t="inlineStr">
        <is>
          <t>Deon@WearCheckRS.com</t>
        </is>
      </c>
      <c r="B89" s="14" t="inlineStr">
        <is>
          <t>Deon Gaarkeuken</t>
        </is>
      </c>
      <c r="C89" s="14" t="inlineStr">
        <is>
          <t>RS</t>
        </is>
      </c>
      <c r="D89" s="14" t="inlineStr">
        <is>
          <t>WC358</t>
        </is>
      </c>
      <c r="E89" s="14" t="inlineStr">
        <is>
          <t>Matched</t>
        </is>
      </c>
      <c r="F89" s="14" t="inlineStr">
        <is>
          <t>No</t>
        </is>
      </c>
      <c r="G89" s="14" t="inlineStr">
        <is>
          <t>Microsoft Defender for Office 365 (Plan 2)</t>
        </is>
      </c>
      <c r="H89" s="14" t="inlineStr">
        <is>
          <t>Likely billable</t>
        </is>
      </c>
      <c r="I89" s="18">
        <f>IFERROR(VLOOKUP(G89,SKU_Cost_Input!$A$2:$E$16,4,FALSE),0)</f>
        <v/>
      </c>
      <c r="J89" s="14">
        <f>IFERROR(VLOOKUP(G89,SKU_Cost_Input!$A$2:$E$16,2,FALSE),0)</f>
        <v/>
      </c>
      <c r="K89" s="18">
        <f>IF(J89=0,0,I89/J89)</f>
        <v/>
      </c>
      <c r="L89" s="18">
        <f>K89</f>
        <v/>
      </c>
      <c r="M89" s="14" t="inlineStr">
        <is>
          <t>Exact company email match</t>
        </is>
      </c>
      <c r="N89" s="14" t="inlineStr"/>
    </row>
    <row r="90">
      <c r="A90" s="14" t="inlineStr">
        <is>
          <t>Deon@WearCheckRS.com</t>
        </is>
      </c>
      <c r="B90" s="14" t="inlineStr">
        <is>
          <t>Deon Gaarkeuken</t>
        </is>
      </c>
      <c r="C90" s="14" t="inlineStr">
        <is>
          <t>RS</t>
        </is>
      </c>
      <c r="D90" s="14" t="inlineStr">
        <is>
          <t>WC358</t>
        </is>
      </c>
      <c r="E90" s="14" t="inlineStr">
        <is>
          <t>Matched</t>
        </is>
      </c>
      <c r="F90" s="14" t="inlineStr">
        <is>
          <t>No</t>
        </is>
      </c>
      <c r="G90" s="14" t="inlineStr">
        <is>
          <t>Power BI Premium Per User</t>
        </is>
      </c>
      <c r="H90" s="14" t="inlineStr">
        <is>
          <t>Likely billable</t>
        </is>
      </c>
      <c r="I90" s="18">
        <f>IFERROR(VLOOKUP(G90,SKU_Cost_Input!$A$2:$E$16,4,FALSE),0)</f>
        <v/>
      </c>
      <c r="J90" s="14">
        <f>IFERROR(VLOOKUP(G90,SKU_Cost_Input!$A$2:$E$16,2,FALSE),0)</f>
        <v/>
      </c>
      <c r="K90" s="18">
        <f>IF(J90=0,0,I90/J90)</f>
        <v/>
      </c>
      <c r="L90" s="18">
        <f>K90</f>
        <v/>
      </c>
      <c r="M90" s="14" t="inlineStr">
        <is>
          <t>Exact company email match</t>
        </is>
      </c>
      <c r="N90" s="14" t="inlineStr"/>
    </row>
    <row r="91">
      <c r="A91" s="14" t="inlineStr">
        <is>
          <t>Deon@WearCheckRS.com</t>
        </is>
      </c>
      <c r="B91" s="14" t="inlineStr">
        <is>
          <t>Deon Gaarkeuken</t>
        </is>
      </c>
      <c r="C91" s="14" t="inlineStr">
        <is>
          <t>RS</t>
        </is>
      </c>
      <c r="D91" s="14" t="inlineStr">
        <is>
          <t>WC358</t>
        </is>
      </c>
      <c r="E91" s="14" t="inlineStr">
        <is>
          <t>Matched</t>
        </is>
      </c>
      <c r="F91" s="14" t="inlineStr">
        <is>
          <t>No</t>
        </is>
      </c>
      <c r="G91" s="14" t="inlineStr">
        <is>
          <t>Microsoft 365 E3</t>
        </is>
      </c>
      <c r="H91" s="14" t="inlineStr">
        <is>
          <t>Likely billable</t>
        </is>
      </c>
      <c r="I91" s="18">
        <f>IFERROR(VLOOKUP(G91,SKU_Cost_Input!$A$2:$E$16,4,FALSE),0)</f>
        <v/>
      </c>
      <c r="J91" s="14">
        <f>IFERROR(VLOOKUP(G91,SKU_Cost_Input!$A$2:$E$16,2,FALSE),0)</f>
        <v/>
      </c>
      <c r="K91" s="18">
        <f>IF(J91=0,0,I91/J91)</f>
        <v/>
      </c>
      <c r="L91" s="18">
        <f>K91</f>
        <v/>
      </c>
      <c r="M91" s="14" t="inlineStr">
        <is>
          <t>Exact company email match</t>
        </is>
      </c>
      <c r="N91" s="14" t="inlineStr">
        <is>
          <t>Review: E3 may be downgradeable to E1 or Business Basic</t>
        </is>
      </c>
    </row>
    <row r="92">
      <c r="A92" s="14" t="inlineStr">
        <is>
          <t>Deon@WearCheckRS.com</t>
        </is>
      </c>
      <c r="B92" s="14" t="inlineStr">
        <is>
          <t>Deon Gaarkeuken</t>
        </is>
      </c>
      <c r="C92" s="14" t="inlineStr">
        <is>
          <t>RS</t>
        </is>
      </c>
      <c r="D92" s="14" t="inlineStr">
        <is>
          <t>WC358</t>
        </is>
      </c>
      <c r="E92" s="14" t="inlineStr">
        <is>
          <t>Matched</t>
        </is>
      </c>
      <c r="F92" s="14" t="inlineStr">
        <is>
          <t>No</t>
        </is>
      </c>
      <c r="G92" s="14" t="inlineStr">
        <is>
          <t>Microsoft Fabric (Free)</t>
        </is>
      </c>
      <c r="H92" s="14" t="inlineStr">
        <is>
          <t>Likely free / trial</t>
        </is>
      </c>
      <c r="I92" s="18">
        <f>IFERROR(VLOOKUP(G92,SKU_Cost_Input!$A$2:$E$16,4,FALSE),0)</f>
        <v/>
      </c>
      <c r="J92" s="14">
        <f>IFERROR(VLOOKUP(G92,SKU_Cost_Input!$A$2:$E$16,2,FALSE),0)</f>
        <v/>
      </c>
      <c r="K92" s="18">
        <f>IF(J92=0,0,I92/J92)</f>
        <v/>
      </c>
      <c r="L92" s="18">
        <f>K92</f>
        <v/>
      </c>
      <c r="M92" s="14" t="inlineStr">
        <is>
          <t>Exact company email match</t>
        </is>
      </c>
      <c r="N92" s="14" t="inlineStr"/>
    </row>
    <row r="93">
      <c r="A93" s="14" t="inlineStr">
        <is>
          <t>Deon@WearCheckRS.com</t>
        </is>
      </c>
      <c r="B93" s="14" t="inlineStr">
        <is>
          <t>Deon Gaarkeuken</t>
        </is>
      </c>
      <c r="C93" s="14" t="inlineStr">
        <is>
          <t>RS</t>
        </is>
      </c>
      <c r="D93" s="14" t="inlineStr">
        <is>
          <t>WC358</t>
        </is>
      </c>
      <c r="E93" s="14" t="inlineStr">
        <is>
          <t>Matched</t>
        </is>
      </c>
      <c r="F93" s="14" t="inlineStr">
        <is>
          <t>No</t>
        </is>
      </c>
      <c r="G93" s="14" t="inlineStr">
        <is>
          <t>Microsoft Power Automate Free</t>
        </is>
      </c>
      <c r="H93" s="14" t="inlineStr">
        <is>
          <t>Likely free / trial</t>
        </is>
      </c>
      <c r="I93" s="18">
        <f>IFERROR(VLOOKUP(G93,SKU_Cost_Input!$A$2:$E$16,4,FALSE),0)</f>
        <v/>
      </c>
      <c r="J93" s="14">
        <f>IFERROR(VLOOKUP(G93,SKU_Cost_Input!$A$2:$E$16,2,FALSE),0)</f>
        <v/>
      </c>
      <c r="K93" s="18">
        <f>IF(J93=0,0,I93/J93)</f>
        <v/>
      </c>
      <c r="L93" s="18">
        <f>K93</f>
        <v/>
      </c>
      <c r="M93" s="14" t="inlineStr">
        <is>
          <t>Exact company email match</t>
        </is>
      </c>
      <c r="N93" s="14" t="inlineStr"/>
    </row>
    <row r="94">
      <c r="A94" s="14" t="inlineStr">
        <is>
          <t>desmond@WearCheckRS.com</t>
        </is>
      </c>
      <c r="B94" s="14" t="inlineStr">
        <is>
          <t>Desmond Ngomane</t>
        </is>
      </c>
      <c r="C94" s="14" t="inlineStr">
        <is>
          <t>RS</t>
        </is>
      </c>
      <c r="D94" s="14" t="inlineStr">
        <is>
          <t>WEC086</t>
        </is>
      </c>
      <c r="E94" s="14" t="inlineStr">
        <is>
          <t>Matched</t>
        </is>
      </c>
      <c r="F94" s="14" t="inlineStr">
        <is>
          <t>No</t>
        </is>
      </c>
      <c r="G94" s="14" t="inlineStr">
        <is>
          <t>Microsoft Defender for Office 365 (Plan 2)</t>
        </is>
      </c>
      <c r="H94" s="14" t="inlineStr">
        <is>
          <t>Likely billable</t>
        </is>
      </c>
      <c r="I94" s="18">
        <f>IFERROR(VLOOKUP(G94,SKU_Cost_Input!$A$2:$E$16,4,FALSE),0)</f>
        <v/>
      </c>
      <c r="J94" s="14">
        <f>IFERROR(VLOOKUP(G94,SKU_Cost_Input!$A$2:$E$16,2,FALSE),0)</f>
        <v/>
      </c>
      <c r="K94" s="18">
        <f>IF(J94=0,0,I94/J94)</f>
        <v/>
      </c>
      <c r="L94" s="18">
        <f>K94</f>
        <v/>
      </c>
      <c r="M94" s="14" t="inlineStr">
        <is>
          <t>Exact company email match</t>
        </is>
      </c>
      <c r="N94" s="14" t="inlineStr"/>
    </row>
    <row r="95">
      <c r="A95" s="14" t="inlineStr">
        <is>
          <t>desmond@WearCheckRS.com</t>
        </is>
      </c>
      <c r="B95" s="14" t="inlineStr">
        <is>
          <t>Desmond Ngomane</t>
        </is>
      </c>
      <c r="C95" s="14" t="inlineStr">
        <is>
          <t>RS</t>
        </is>
      </c>
      <c r="D95" s="14" t="inlineStr">
        <is>
          <t>WEC086</t>
        </is>
      </c>
      <c r="E95" s="14" t="inlineStr">
        <is>
          <t>Matched</t>
        </is>
      </c>
      <c r="F95" s="14" t="inlineStr">
        <is>
          <t>No</t>
        </is>
      </c>
      <c r="G95" s="14" t="inlineStr">
        <is>
          <t>Microsoft Fabric (Free)</t>
        </is>
      </c>
      <c r="H95" s="14" t="inlineStr">
        <is>
          <t>Likely free / trial</t>
        </is>
      </c>
      <c r="I95" s="18">
        <f>IFERROR(VLOOKUP(G95,SKU_Cost_Input!$A$2:$E$16,4,FALSE),0)</f>
        <v/>
      </c>
      <c r="J95" s="14">
        <f>IFERROR(VLOOKUP(G95,SKU_Cost_Input!$A$2:$E$16,2,FALSE),0)</f>
        <v/>
      </c>
      <c r="K95" s="18">
        <f>IF(J95=0,0,I95/J95)</f>
        <v/>
      </c>
      <c r="L95" s="18">
        <f>K95</f>
        <v/>
      </c>
      <c r="M95" s="14" t="inlineStr">
        <is>
          <t>Exact company email match</t>
        </is>
      </c>
      <c r="N95" s="14" t="inlineStr"/>
    </row>
    <row r="96">
      <c r="A96" s="14" t="inlineStr">
        <is>
          <t>desmond@WearCheckRS.com</t>
        </is>
      </c>
      <c r="B96" s="14" t="inlineStr">
        <is>
          <t>Desmond Ngomane</t>
        </is>
      </c>
      <c r="C96" s="14" t="inlineStr">
        <is>
          <t>RS</t>
        </is>
      </c>
      <c r="D96" s="14" t="inlineStr">
        <is>
          <t>WEC086</t>
        </is>
      </c>
      <c r="E96" s="14" t="inlineStr">
        <is>
          <t>Matched</t>
        </is>
      </c>
      <c r="F96" s="14" t="inlineStr">
        <is>
          <t>No</t>
        </is>
      </c>
      <c r="G96" s="14" t="inlineStr">
        <is>
          <t>Microsoft 365 Business Standard</t>
        </is>
      </c>
      <c r="H96" s="14" t="inlineStr">
        <is>
          <t>Likely billable</t>
        </is>
      </c>
      <c r="I96" s="18">
        <f>IFERROR(VLOOKUP(G96,SKU_Cost_Input!$A$2:$E$16,4,FALSE),0)</f>
        <v/>
      </c>
      <c r="J96" s="14">
        <f>IFERROR(VLOOKUP(G96,SKU_Cost_Input!$A$2:$E$16,2,FALSE),0)</f>
        <v/>
      </c>
      <c r="K96" s="18">
        <f>IF(J96=0,0,I96/J96)</f>
        <v/>
      </c>
      <c r="L96" s="18">
        <f>K96</f>
        <v/>
      </c>
      <c r="M96" s="14" t="inlineStr">
        <is>
          <t>Exact company email match</t>
        </is>
      </c>
      <c r="N96" s="14" t="inlineStr">
        <is>
          <t>Review: Business Standard — consider Business Basic if sufficient</t>
        </is>
      </c>
    </row>
    <row r="97">
      <c r="A97" s="14" t="inlineStr">
        <is>
          <t>dian@WearCheckRS.com</t>
        </is>
      </c>
      <c r="B97" s="14" t="inlineStr">
        <is>
          <t>Dian Leff</t>
        </is>
      </c>
      <c r="C97" s="14" t="inlineStr">
        <is>
          <t>Namibia</t>
        </is>
      </c>
      <c r="D97" s="14" t="inlineStr">
        <is>
          <t>WCN008</t>
        </is>
      </c>
      <c r="E97" s="14" t="inlineStr">
        <is>
          <t>Matched</t>
        </is>
      </c>
      <c r="F97" s="14" t="inlineStr">
        <is>
          <t>No</t>
        </is>
      </c>
      <c r="G97" s="14" t="inlineStr">
        <is>
          <t>Microsoft Defender for Office 365 (Plan 2)</t>
        </is>
      </c>
      <c r="H97" s="14" t="inlineStr">
        <is>
          <t>Likely billable</t>
        </is>
      </c>
      <c r="I97" s="18">
        <f>IFERROR(VLOOKUP(G97,SKU_Cost_Input!$A$2:$E$16,4,FALSE),0)</f>
        <v/>
      </c>
      <c r="J97" s="14">
        <f>IFERROR(VLOOKUP(G97,SKU_Cost_Input!$A$2:$E$16,2,FALSE),0)</f>
        <v/>
      </c>
      <c r="K97" s="18">
        <f>IF(J97=0,0,I97/J97)</f>
        <v/>
      </c>
      <c r="L97" s="18">
        <f>K97</f>
        <v/>
      </c>
      <c r="M97" s="14" t="inlineStr">
        <is>
          <t>Exact company email match</t>
        </is>
      </c>
      <c r="N97" s="14" t="inlineStr"/>
    </row>
    <row r="98">
      <c r="A98" s="14" t="inlineStr">
        <is>
          <t>dian@WearCheckRS.com</t>
        </is>
      </c>
      <c r="B98" s="14" t="inlineStr">
        <is>
          <t>Dian Leff</t>
        </is>
      </c>
      <c r="C98" s="14" t="inlineStr">
        <is>
          <t>Namibia</t>
        </is>
      </c>
      <c r="D98" s="14" t="inlineStr">
        <is>
          <t>WCN008</t>
        </is>
      </c>
      <c r="E98" s="14" t="inlineStr">
        <is>
          <t>Matched</t>
        </is>
      </c>
      <c r="F98" s="14" t="inlineStr">
        <is>
          <t>No</t>
        </is>
      </c>
      <c r="G98" s="14" t="inlineStr">
        <is>
          <t>Microsoft 365 Business Standard</t>
        </is>
      </c>
      <c r="H98" s="14" t="inlineStr">
        <is>
          <t>Likely billable</t>
        </is>
      </c>
      <c r="I98" s="18">
        <f>IFERROR(VLOOKUP(G98,SKU_Cost_Input!$A$2:$E$16,4,FALSE),0)</f>
        <v/>
      </c>
      <c r="J98" s="14">
        <f>IFERROR(VLOOKUP(G98,SKU_Cost_Input!$A$2:$E$16,2,FALSE),0)</f>
        <v/>
      </c>
      <c r="K98" s="18">
        <f>IF(J98=0,0,I98/J98)</f>
        <v/>
      </c>
      <c r="L98" s="18">
        <f>K98</f>
        <v/>
      </c>
      <c r="M98" s="14" t="inlineStr">
        <is>
          <t>Exact company email match</t>
        </is>
      </c>
      <c r="N98" s="14" t="inlineStr">
        <is>
          <t>Review: Business Standard — consider Business Basic if sufficient</t>
        </is>
      </c>
    </row>
    <row r="99">
      <c r="A99" s="14" t="inlineStr">
        <is>
          <t>douglas@WearCheckRS.com</t>
        </is>
      </c>
      <c r="B99" s="14" t="inlineStr">
        <is>
          <t>Douglas Prout-Jones</t>
        </is>
      </c>
      <c r="C99" s="14" t="inlineStr">
        <is>
          <t>RS</t>
        </is>
      </c>
      <c r="D99" s="14" t="inlineStr">
        <is>
          <t>WEC119</t>
        </is>
      </c>
      <c r="E99" s="14" t="inlineStr">
        <is>
          <t>Matched</t>
        </is>
      </c>
      <c r="F99" s="14" t="inlineStr">
        <is>
          <t>No</t>
        </is>
      </c>
      <c r="G99" s="14" t="inlineStr">
        <is>
          <t>Microsoft Defender for Office 365 (Plan 2)</t>
        </is>
      </c>
      <c r="H99" s="14" t="inlineStr">
        <is>
          <t>Likely billable</t>
        </is>
      </c>
      <c r="I99" s="18">
        <f>IFERROR(VLOOKUP(G99,SKU_Cost_Input!$A$2:$E$16,4,FALSE),0)</f>
        <v/>
      </c>
      <c r="J99" s="14">
        <f>IFERROR(VLOOKUP(G99,SKU_Cost_Input!$A$2:$E$16,2,FALSE),0)</f>
        <v/>
      </c>
      <c r="K99" s="18">
        <f>IF(J99=0,0,I99/J99)</f>
        <v/>
      </c>
      <c r="L99" s="18">
        <f>K99</f>
        <v/>
      </c>
      <c r="M99" s="14" t="inlineStr">
        <is>
          <t>Exact company email match</t>
        </is>
      </c>
      <c r="N99" s="14" t="inlineStr"/>
    </row>
    <row r="100">
      <c r="A100" s="14" t="inlineStr">
        <is>
          <t>douglas@WearCheckRS.com</t>
        </is>
      </c>
      <c r="B100" s="14" t="inlineStr">
        <is>
          <t>Douglas Prout-Jones</t>
        </is>
      </c>
      <c r="C100" s="14" t="inlineStr">
        <is>
          <t>RS</t>
        </is>
      </c>
      <c r="D100" s="14" t="inlineStr">
        <is>
          <t>WEC119</t>
        </is>
      </c>
      <c r="E100" s="14" t="inlineStr">
        <is>
          <t>Matched</t>
        </is>
      </c>
      <c r="F100" s="14" t="inlineStr">
        <is>
          <t>No</t>
        </is>
      </c>
      <c r="G100" s="14" t="inlineStr">
        <is>
          <t>Microsoft Power Automate Free</t>
        </is>
      </c>
      <c r="H100" s="14" t="inlineStr">
        <is>
          <t>Likely free / trial</t>
        </is>
      </c>
      <c r="I100" s="18">
        <f>IFERROR(VLOOKUP(G100,SKU_Cost_Input!$A$2:$E$16,4,FALSE),0)</f>
        <v/>
      </c>
      <c r="J100" s="14">
        <f>IFERROR(VLOOKUP(G100,SKU_Cost_Input!$A$2:$E$16,2,FALSE),0)</f>
        <v/>
      </c>
      <c r="K100" s="18">
        <f>IF(J100=0,0,I100/J100)</f>
        <v/>
      </c>
      <c r="L100" s="18">
        <f>K100</f>
        <v/>
      </c>
      <c r="M100" s="14" t="inlineStr">
        <is>
          <t>Exact company email match</t>
        </is>
      </c>
      <c r="N100" s="14" t="inlineStr"/>
    </row>
    <row r="101">
      <c r="A101" s="14" t="inlineStr">
        <is>
          <t>douglas@WearCheckRS.com</t>
        </is>
      </c>
      <c r="B101" s="14" t="inlineStr">
        <is>
          <t>Douglas Prout-Jones</t>
        </is>
      </c>
      <c r="C101" s="14" t="inlineStr">
        <is>
          <t>RS</t>
        </is>
      </c>
      <c r="D101" s="14" t="inlineStr">
        <is>
          <t>WEC119</t>
        </is>
      </c>
      <c r="E101" s="14" t="inlineStr">
        <is>
          <t>Matched</t>
        </is>
      </c>
      <c r="F101" s="14" t="inlineStr">
        <is>
          <t>No</t>
        </is>
      </c>
      <c r="G101" s="14" t="inlineStr">
        <is>
          <t>Microsoft 365 Business Standard</t>
        </is>
      </c>
      <c r="H101" s="14" t="inlineStr">
        <is>
          <t>Likely billable</t>
        </is>
      </c>
      <c r="I101" s="18">
        <f>IFERROR(VLOOKUP(G101,SKU_Cost_Input!$A$2:$E$16,4,FALSE),0)</f>
        <v/>
      </c>
      <c r="J101" s="14">
        <f>IFERROR(VLOOKUP(G101,SKU_Cost_Input!$A$2:$E$16,2,FALSE),0)</f>
        <v/>
      </c>
      <c r="K101" s="18">
        <f>IF(J101=0,0,I101/J101)</f>
        <v/>
      </c>
      <c r="L101" s="18">
        <f>K101</f>
        <v/>
      </c>
      <c r="M101" s="14" t="inlineStr">
        <is>
          <t>Exact company email match</t>
        </is>
      </c>
      <c r="N101" s="14" t="inlineStr">
        <is>
          <t>Review: Business Standard — consider Business Basic if sufficient</t>
        </is>
      </c>
    </row>
    <row r="102">
      <c r="A102" s="14" t="inlineStr">
        <is>
          <t>eben@WearCheckRS.com</t>
        </is>
      </c>
      <c r="B102" s="14" t="inlineStr">
        <is>
          <t>Eben Prinsloo</t>
        </is>
      </c>
      <c r="C102" s="14" t="inlineStr">
        <is>
          <t>RS</t>
        </is>
      </c>
      <c r="D102" s="14" t="inlineStr">
        <is>
          <t>WEC122</t>
        </is>
      </c>
      <c r="E102" s="14" t="inlineStr">
        <is>
          <t>Matched</t>
        </is>
      </c>
      <c r="F102" s="14" t="inlineStr">
        <is>
          <t>No</t>
        </is>
      </c>
      <c r="G102" s="14" t="inlineStr">
        <is>
          <t>Microsoft Defender for Office 365 (Plan 2)</t>
        </is>
      </c>
      <c r="H102" s="14" t="inlineStr">
        <is>
          <t>Likely billable</t>
        </is>
      </c>
      <c r="I102" s="18">
        <f>IFERROR(VLOOKUP(G102,SKU_Cost_Input!$A$2:$E$16,4,FALSE),0)</f>
        <v/>
      </c>
      <c r="J102" s="14">
        <f>IFERROR(VLOOKUP(G102,SKU_Cost_Input!$A$2:$E$16,2,FALSE),0)</f>
        <v/>
      </c>
      <c r="K102" s="18">
        <f>IF(J102=0,0,I102/J102)</f>
        <v/>
      </c>
      <c r="L102" s="18">
        <f>K102</f>
        <v/>
      </c>
      <c r="M102" s="14" t="inlineStr">
        <is>
          <t>Exact company email match</t>
        </is>
      </c>
      <c r="N102" s="14" t="inlineStr"/>
    </row>
    <row r="103">
      <c r="A103" s="14" t="inlineStr">
        <is>
          <t>eben@WearCheckRS.com</t>
        </is>
      </c>
      <c r="B103" s="14" t="inlineStr">
        <is>
          <t>Eben Prinsloo</t>
        </is>
      </c>
      <c r="C103" s="14" t="inlineStr">
        <is>
          <t>RS</t>
        </is>
      </c>
      <c r="D103" s="14" t="inlineStr">
        <is>
          <t>WEC122</t>
        </is>
      </c>
      <c r="E103" s="14" t="inlineStr">
        <is>
          <t>Matched</t>
        </is>
      </c>
      <c r="F103" s="14" t="inlineStr">
        <is>
          <t>No</t>
        </is>
      </c>
      <c r="G103" s="14" t="inlineStr">
        <is>
          <t>Microsoft 365 Business Standard</t>
        </is>
      </c>
      <c r="H103" s="14" t="inlineStr">
        <is>
          <t>Likely billable</t>
        </is>
      </c>
      <c r="I103" s="18">
        <f>IFERROR(VLOOKUP(G103,SKU_Cost_Input!$A$2:$E$16,4,FALSE),0)</f>
        <v/>
      </c>
      <c r="J103" s="14">
        <f>IFERROR(VLOOKUP(G103,SKU_Cost_Input!$A$2:$E$16,2,FALSE),0)</f>
        <v/>
      </c>
      <c r="K103" s="18">
        <f>IF(J103=0,0,I103/J103)</f>
        <v/>
      </c>
      <c r="L103" s="18">
        <f>K103</f>
        <v/>
      </c>
      <c r="M103" s="14" t="inlineStr">
        <is>
          <t>Exact company email match</t>
        </is>
      </c>
      <c r="N103" s="14" t="inlineStr">
        <is>
          <t>Review: Business Standard — consider Business Basic if sufficient</t>
        </is>
      </c>
    </row>
    <row r="104">
      <c r="A104" s="14" t="inlineStr">
        <is>
          <t>eben@WearCheckRS.com</t>
        </is>
      </c>
      <c r="B104" s="14" t="inlineStr">
        <is>
          <t>Eben Prinsloo</t>
        </is>
      </c>
      <c r="C104" s="14" t="inlineStr">
        <is>
          <t>RS</t>
        </is>
      </c>
      <c r="D104" s="14" t="inlineStr">
        <is>
          <t>WEC122</t>
        </is>
      </c>
      <c r="E104" s="14" t="inlineStr">
        <is>
          <t>Matched</t>
        </is>
      </c>
      <c r="F104" s="14" t="inlineStr">
        <is>
          <t>No</t>
        </is>
      </c>
      <c r="G104" s="14" t="inlineStr">
        <is>
          <t>Microsoft Fabric (Free)</t>
        </is>
      </c>
      <c r="H104" s="14" t="inlineStr">
        <is>
          <t>Likely free / trial</t>
        </is>
      </c>
      <c r="I104" s="18">
        <f>IFERROR(VLOOKUP(G104,SKU_Cost_Input!$A$2:$E$16,4,FALSE),0)</f>
        <v/>
      </c>
      <c r="J104" s="14">
        <f>IFERROR(VLOOKUP(G104,SKU_Cost_Input!$A$2:$E$16,2,FALSE),0)</f>
        <v/>
      </c>
      <c r="K104" s="18">
        <f>IF(J104=0,0,I104/J104)</f>
        <v/>
      </c>
      <c r="L104" s="18">
        <f>K104</f>
        <v/>
      </c>
      <c r="M104" s="14" t="inlineStr">
        <is>
          <t>Exact company email match</t>
        </is>
      </c>
      <c r="N104" s="14" t="inlineStr"/>
    </row>
    <row r="105">
      <c r="A105" s="14" t="inlineStr">
        <is>
          <t>edwardfp@WearCheckRS.com</t>
        </is>
      </c>
      <c r="B105" s="14" t="inlineStr">
        <is>
          <t>Edward Pieterse Jnr</t>
        </is>
      </c>
      <c r="C105" s="14" t="inlineStr">
        <is>
          <t>RS</t>
        </is>
      </c>
      <c r="D105" s="14" t="inlineStr">
        <is>
          <t>WC274</t>
        </is>
      </c>
      <c r="E105" s="14" t="inlineStr">
        <is>
          <t>Matched</t>
        </is>
      </c>
      <c r="F105" s="14" t="inlineStr">
        <is>
          <t>No</t>
        </is>
      </c>
      <c r="G105" s="14" t="inlineStr">
        <is>
          <t>Microsoft Defender for Office 365 (Plan 2)</t>
        </is>
      </c>
      <c r="H105" s="14" t="inlineStr">
        <is>
          <t>Likely billable</t>
        </is>
      </c>
      <c r="I105" s="18">
        <f>IFERROR(VLOOKUP(G105,SKU_Cost_Input!$A$2:$E$16,4,FALSE),0)</f>
        <v/>
      </c>
      <c r="J105" s="14">
        <f>IFERROR(VLOOKUP(G105,SKU_Cost_Input!$A$2:$E$16,2,FALSE),0)</f>
        <v/>
      </c>
      <c r="K105" s="18">
        <f>IF(J105=0,0,I105/J105)</f>
        <v/>
      </c>
      <c r="L105" s="18">
        <f>K105</f>
        <v/>
      </c>
      <c r="M105" s="14" t="inlineStr">
        <is>
          <t>Exact company email match</t>
        </is>
      </c>
      <c r="N105" s="14" t="inlineStr"/>
    </row>
    <row r="106">
      <c r="A106" s="14" t="inlineStr">
        <is>
          <t>edwardfp@WearCheckRS.com</t>
        </is>
      </c>
      <c r="B106" s="14" t="inlineStr">
        <is>
          <t>Edward Pieterse Jnr</t>
        </is>
      </c>
      <c r="C106" s="14" t="inlineStr">
        <is>
          <t>RS</t>
        </is>
      </c>
      <c r="D106" s="14" t="inlineStr">
        <is>
          <t>WC274</t>
        </is>
      </c>
      <c r="E106" s="14" t="inlineStr">
        <is>
          <t>Matched</t>
        </is>
      </c>
      <c r="F106" s="14" t="inlineStr">
        <is>
          <t>No</t>
        </is>
      </c>
      <c r="G106" s="14" t="inlineStr">
        <is>
          <t>Microsoft Power Apps for Developer</t>
        </is>
      </c>
      <c r="H106" s="14" t="inlineStr">
        <is>
          <t>Likely billable</t>
        </is>
      </c>
      <c r="I106" s="18">
        <f>IFERROR(VLOOKUP(G106,SKU_Cost_Input!$A$2:$E$16,4,FALSE),0)</f>
        <v/>
      </c>
      <c r="J106" s="14">
        <f>IFERROR(VLOOKUP(G106,SKU_Cost_Input!$A$2:$E$16,2,FALSE),0)</f>
        <v/>
      </c>
      <c r="K106" s="18">
        <f>IF(J106=0,0,I106/J106)</f>
        <v/>
      </c>
      <c r="L106" s="18">
        <f>K106</f>
        <v/>
      </c>
      <c r="M106" s="14" t="inlineStr">
        <is>
          <t>Exact company email match</t>
        </is>
      </c>
      <c r="N106" s="14" t="inlineStr"/>
    </row>
    <row r="107">
      <c r="A107" s="14" t="inlineStr">
        <is>
          <t>edwardfp@WearCheckRS.com</t>
        </is>
      </c>
      <c r="B107" s="14" t="inlineStr">
        <is>
          <t>Edward Pieterse Jnr</t>
        </is>
      </c>
      <c r="C107" s="14" t="inlineStr">
        <is>
          <t>RS</t>
        </is>
      </c>
      <c r="D107" s="14" t="inlineStr">
        <is>
          <t>WC274</t>
        </is>
      </c>
      <c r="E107" s="14" t="inlineStr">
        <is>
          <t>Matched</t>
        </is>
      </c>
      <c r="F107" s="14" t="inlineStr">
        <is>
          <t>No</t>
        </is>
      </c>
      <c r="G107" s="14" t="inlineStr">
        <is>
          <t>Microsoft 365 E3</t>
        </is>
      </c>
      <c r="H107" s="14" t="inlineStr">
        <is>
          <t>Likely billable</t>
        </is>
      </c>
      <c r="I107" s="18">
        <f>IFERROR(VLOOKUP(G107,SKU_Cost_Input!$A$2:$E$16,4,FALSE),0)</f>
        <v/>
      </c>
      <c r="J107" s="14">
        <f>IFERROR(VLOOKUP(G107,SKU_Cost_Input!$A$2:$E$16,2,FALSE),0)</f>
        <v/>
      </c>
      <c r="K107" s="18">
        <f>IF(J107=0,0,I107/J107)</f>
        <v/>
      </c>
      <c r="L107" s="18">
        <f>K107</f>
        <v/>
      </c>
      <c r="M107" s="14" t="inlineStr">
        <is>
          <t>Exact company email match</t>
        </is>
      </c>
      <c r="N107" s="14" t="inlineStr">
        <is>
          <t>Review: E3 may be downgradeable to E1 or Business Basic</t>
        </is>
      </c>
    </row>
    <row r="108">
      <c r="A108" s="14" t="inlineStr">
        <is>
          <t>edwardfp@WearCheckRS.com</t>
        </is>
      </c>
      <c r="B108" s="14" t="inlineStr">
        <is>
          <t>Edward Pieterse Jnr</t>
        </is>
      </c>
      <c r="C108" s="14" t="inlineStr">
        <is>
          <t>RS</t>
        </is>
      </c>
      <c r="D108" s="14" t="inlineStr">
        <is>
          <t>WC274</t>
        </is>
      </c>
      <c r="E108" s="14" t="inlineStr">
        <is>
          <t>Matched</t>
        </is>
      </c>
      <c r="F108" s="14" t="inlineStr">
        <is>
          <t>No</t>
        </is>
      </c>
      <c r="G108" s="14" t="inlineStr">
        <is>
          <t>Microsoft Fabric (Free)</t>
        </is>
      </c>
      <c r="H108" s="14" t="inlineStr">
        <is>
          <t>Likely free / trial</t>
        </is>
      </c>
      <c r="I108" s="18">
        <f>IFERROR(VLOOKUP(G108,SKU_Cost_Input!$A$2:$E$16,4,FALSE),0)</f>
        <v/>
      </c>
      <c r="J108" s="14">
        <f>IFERROR(VLOOKUP(G108,SKU_Cost_Input!$A$2:$E$16,2,FALSE),0)</f>
        <v/>
      </c>
      <c r="K108" s="18">
        <f>IF(J108=0,0,I108/J108)</f>
        <v/>
      </c>
      <c r="L108" s="18">
        <f>K108</f>
        <v/>
      </c>
      <c r="M108" s="14" t="inlineStr">
        <is>
          <t>Exact company email match</t>
        </is>
      </c>
      <c r="N108" s="14" t="inlineStr"/>
    </row>
    <row r="109">
      <c r="A109" s="14" t="inlineStr">
        <is>
          <t>edwardfp@WearCheckRS.com</t>
        </is>
      </c>
      <c r="B109" s="14" t="inlineStr">
        <is>
          <t>Edward Pieterse Jnr</t>
        </is>
      </c>
      <c r="C109" s="14" t="inlineStr">
        <is>
          <t>RS</t>
        </is>
      </c>
      <c r="D109" s="14" t="inlineStr">
        <is>
          <t>WC274</t>
        </is>
      </c>
      <c r="E109" s="14" t="inlineStr">
        <is>
          <t>Matched</t>
        </is>
      </c>
      <c r="F109" s="14" t="inlineStr">
        <is>
          <t>No</t>
        </is>
      </c>
      <c r="G109" s="14" t="inlineStr">
        <is>
          <t>Microsoft Power Automate Free</t>
        </is>
      </c>
      <c r="H109" s="14" t="inlineStr">
        <is>
          <t>Likely free / trial</t>
        </is>
      </c>
      <c r="I109" s="18">
        <f>IFERROR(VLOOKUP(G109,SKU_Cost_Input!$A$2:$E$16,4,FALSE),0)</f>
        <v/>
      </c>
      <c r="J109" s="14">
        <f>IFERROR(VLOOKUP(G109,SKU_Cost_Input!$A$2:$E$16,2,FALSE),0)</f>
        <v/>
      </c>
      <c r="K109" s="18">
        <f>IF(J109=0,0,I109/J109)</f>
        <v/>
      </c>
      <c r="L109" s="18">
        <f>K109</f>
        <v/>
      </c>
      <c r="M109" s="14" t="inlineStr">
        <is>
          <t>Exact company email match</t>
        </is>
      </c>
      <c r="N109" s="14" t="inlineStr"/>
    </row>
    <row r="110">
      <c r="A110" s="14" t="inlineStr">
        <is>
          <t>epieterse@wearcheckrs.com</t>
        </is>
      </c>
      <c r="B110" s="14" t="inlineStr">
        <is>
          <t>Edward Pieterse Snr</t>
        </is>
      </c>
      <c r="C110" s="14" t="inlineStr">
        <is>
          <t>RS</t>
        </is>
      </c>
      <c r="D110" s="14" t="inlineStr">
        <is>
          <t>WC271</t>
        </is>
      </c>
      <c r="E110" s="14" t="inlineStr">
        <is>
          <t>Matched</t>
        </is>
      </c>
      <c r="F110" s="14" t="inlineStr">
        <is>
          <t>No</t>
        </is>
      </c>
      <c r="G110" s="14" t="inlineStr">
        <is>
          <t>Microsoft 365 Business Premium</t>
        </is>
      </c>
      <c r="H110" s="14" t="inlineStr">
        <is>
          <t>Likely billable</t>
        </is>
      </c>
      <c r="I110" s="18">
        <f>IFERROR(VLOOKUP(G110,SKU_Cost_Input!$A$2:$E$16,4,FALSE),0)</f>
        <v/>
      </c>
      <c r="J110" s="14">
        <f>IFERROR(VLOOKUP(G110,SKU_Cost_Input!$A$2:$E$16,2,FALSE),0)</f>
        <v/>
      </c>
      <c r="K110" s="18">
        <f>IF(J110=0,0,I110/J110)</f>
        <v/>
      </c>
      <c r="L110" s="18">
        <f>K110</f>
        <v/>
      </c>
      <c r="M110" s="14" t="inlineStr">
        <is>
          <t>Exact company email match</t>
        </is>
      </c>
      <c r="N110" s="14" t="inlineStr">
        <is>
          <t>Review: Business Premium — consider Business Basic/Standard</t>
        </is>
      </c>
    </row>
    <row r="111">
      <c r="A111" s="14" t="inlineStr">
        <is>
          <t>epieterse@wearcheckrs.com</t>
        </is>
      </c>
      <c r="B111" s="14" t="inlineStr">
        <is>
          <t>Edward Pieterse Snr</t>
        </is>
      </c>
      <c r="C111" s="14" t="inlineStr">
        <is>
          <t>RS</t>
        </is>
      </c>
      <c r="D111" s="14" t="inlineStr">
        <is>
          <t>WC271</t>
        </is>
      </c>
      <c r="E111" s="14" t="inlineStr">
        <is>
          <t>Matched</t>
        </is>
      </c>
      <c r="F111" s="14" t="inlineStr">
        <is>
          <t>No</t>
        </is>
      </c>
      <c r="G111" s="14" t="inlineStr">
        <is>
          <t>Microsoft Defender for Office 365 (Plan 2)</t>
        </is>
      </c>
      <c r="H111" s="14" t="inlineStr">
        <is>
          <t>Likely billable</t>
        </is>
      </c>
      <c r="I111" s="18">
        <f>IFERROR(VLOOKUP(G111,SKU_Cost_Input!$A$2:$E$16,4,FALSE),0)</f>
        <v/>
      </c>
      <c r="J111" s="14">
        <f>IFERROR(VLOOKUP(G111,SKU_Cost_Input!$A$2:$E$16,2,FALSE),0)</f>
        <v/>
      </c>
      <c r="K111" s="18">
        <f>IF(J111=0,0,I111/J111)</f>
        <v/>
      </c>
      <c r="L111" s="18">
        <f>K111</f>
        <v/>
      </c>
      <c r="M111" s="14" t="inlineStr">
        <is>
          <t>Exact company email match</t>
        </is>
      </c>
      <c r="N111" s="14" t="inlineStr"/>
    </row>
    <row r="112">
      <c r="A112" s="14" t="inlineStr">
        <is>
          <t>epieterse@wearcheckrs.com</t>
        </is>
      </c>
      <c r="B112" s="14" t="inlineStr">
        <is>
          <t>Edward Pieterse Snr</t>
        </is>
      </c>
      <c r="C112" s="14" t="inlineStr">
        <is>
          <t>RS</t>
        </is>
      </c>
      <c r="D112" s="14" t="inlineStr">
        <is>
          <t>WC271</t>
        </is>
      </c>
      <c r="E112" s="14" t="inlineStr">
        <is>
          <t>Matched</t>
        </is>
      </c>
      <c r="F112" s="14" t="inlineStr">
        <is>
          <t>No</t>
        </is>
      </c>
      <c r="G112" s="14" t="inlineStr">
        <is>
          <t>Microsoft Power Automate Free</t>
        </is>
      </c>
      <c r="H112" s="14" t="inlineStr">
        <is>
          <t>Likely free / trial</t>
        </is>
      </c>
      <c r="I112" s="18">
        <f>IFERROR(VLOOKUP(G112,SKU_Cost_Input!$A$2:$E$16,4,FALSE),0)</f>
        <v/>
      </c>
      <c r="J112" s="14">
        <f>IFERROR(VLOOKUP(G112,SKU_Cost_Input!$A$2:$E$16,2,FALSE),0)</f>
        <v/>
      </c>
      <c r="K112" s="18">
        <f>IF(J112=0,0,I112/J112)</f>
        <v/>
      </c>
      <c r="L112" s="18">
        <f>K112</f>
        <v/>
      </c>
      <c r="M112" s="14" t="inlineStr">
        <is>
          <t>Exact company email match</t>
        </is>
      </c>
      <c r="N112" s="14" t="inlineStr"/>
    </row>
    <row r="113">
      <c r="A113" s="14" t="inlineStr">
        <is>
          <t>epieterse@wearcheckrs.com</t>
        </is>
      </c>
      <c r="B113" s="14" t="inlineStr">
        <is>
          <t>Edward Pieterse Snr</t>
        </is>
      </c>
      <c r="C113" s="14" t="inlineStr">
        <is>
          <t>RS</t>
        </is>
      </c>
      <c r="D113" s="14" t="inlineStr">
        <is>
          <t>WC271</t>
        </is>
      </c>
      <c r="E113" s="14" t="inlineStr">
        <is>
          <t>Matched</t>
        </is>
      </c>
      <c r="F113" s="14" t="inlineStr">
        <is>
          <t>No</t>
        </is>
      </c>
      <c r="G113" s="14" t="inlineStr">
        <is>
          <t>Microsoft Fabric (Free)</t>
        </is>
      </c>
      <c r="H113" s="14" t="inlineStr">
        <is>
          <t>Likely free / trial</t>
        </is>
      </c>
      <c r="I113" s="18">
        <f>IFERROR(VLOOKUP(G113,SKU_Cost_Input!$A$2:$E$16,4,FALSE),0)</f>
        <v/>
      </c>
      <c r="J113" s="14">
        <f>IFERROR(VLOOKUP(G113,SKU_Cost_Input!$A$2:$E$16,2,FALSE),0)</f>
        <v/>
      </c>
      <c r="K113" s="18">
        <f>IF(J113=0,0,I113/J113)</f>
        <v/>
      </c>
      <c r="L113" s="18">
        <f>K113</f>
        <v/>
      </c>
      <c r="M113" s="14" t="inlineStr">
        <is>
          <t>Exact company email match</t>
        </is>
      </c>
      <c r="N113" s="14" t="inlineStr"/>
    </row>
    <row r="114">
      <c r="A114" s="14" t="inlineStr">
        <is>
          <t>edwin@WearCheckRS.com</t>
        </is>
      </c>
      <c r="B114" s="14" t="inlineStr">
        <is>
          <t>Edwin Gibbons</t>
        </is>
      </c>
      <c r="C114" s="14" t="inlineStr">
        <is>
          <t>AFS</t>
        </is>
      </c>
      <c r="D114" s="14" t="inlineStr">
        <is>
          <t>WEC138</t>
        </is>
      </c>
      <c r="E114" s="14" t="inlineStr">
        <is>
          <t>Matched</t>
        </is>
      </c>
      <c r="F114" s="14" t="inlineStr">
        <is>
          <t>No</t>
        </is>
      </c>
      <c r="G114" s="14" t="inlineStr">
        <is>
          <t>Microsoft Defender for Office 365 (Plan 2)</t>
        </is>
      </c>
      <c r="H114" s="14" t="inlineStr">
        <is>
          <t>Likely billable</t>
        </is>
      </c>
      <c r="I114" s="18">
        <f>IFERROR(VLOOKUP(G114,SKU_Cost_Input!$A$2:$E$16,4,FALSE),0)</f>
        <v/>
      </c>
      <c r="J114" s="14">
        <f>IFERROR(VLOOKUP(G114,SKU_Cost_Input!$A$2:$E$16,2,FALSE),0)</f>
        <v/>
      </c>
      <c r="K114" s="18">
        <f>IF(J114=0,0,I114/J114)</f>
        <v/>
      </c>
      <c r="L114" s="18">
        <f>K114</f>
        <v/>
      </c>
      <c r="M114" s="14" t="inlineStr">
        <is>
          <t>Exact company email match</t>
        </is>
      </c>
      <c r="N114" s="14" t="inlineStr"/>
    </row>
    <row r="115">
      <c r="A115" s="14" t="inlineStr">
        <is>
          <t>edwin@WearCheckRS.com</t>
        </is>
      </c>
      <c r="B115" s="14" t="inlineStr">
        <is>
          <t>Edwin Gibbons</t>
        </is>
      </c>
      <c r="C115" s="14" t="inlineStr">
        <is>
          <t>AFS</t>
        </is>
      </c>
      <c r="D115" s="14" t="inlineStr">
        <is>
          <t>WEC138</t>
        </is>
      </c>
      <c r="E115" s="14" t="inlineStr">
        <is>
          <t>Matched</t>
        </is>
      </c>
      <c r="F115" s="14" t="inlineStr">
        <is>
          <t>No</t>
        </is>
      </c>
      <c r="G115" s="14" t="inlineStr">
        <is>
          <t>Microsoft 365 Business Standard</t>
        </is>
      </c>
      <c r="H115" s="14" t="inlineStr">
        <is>
          <t>Likely billable</t>
        </is>
      </c>
      <c r="I115" s="18">
        <f>IFERROR(VLOOKUP(G115,SKU_Cost_Input!$A$2:$E$16,4,FALSE),0)</f>
        <v/>
      </c>
      <c r="J115" s="14">
        <f>IFERROR(VLOOKUP(G115,SKU_Cost_Input!$A$2:$E$16,2,FALSE),0)</f>
        <v/>
      </c>
      <c r="K115" s="18">
        <f>IF(J115=0,0,I115/J115)</f>
        <v/>
      </c>
      <c r="L115" s="18">
        <f>K115</f>
        <v/>
      </c>
      <c r="M115" s="14" t="inlineStr">
        <is>
          <t>Exact company email match</t>
        </is>
      </c>
      <c r="N115" s="14" t="inlineStr">
        <is>
          <t>Review: Business Standard — consider Business Basic if sufficient</t>
        </is>
      </c>
    </row>
    <row r="116">
      <c r="A116" s="14" t="inlineStr">
        <is>
          <t>ethel.mienie@WearCheckRS.com</t>
        </is>
      </c>
      <c r="B116" s="14" t="inlineStr">
        <is>
          <t>Ethel Mienie</t>
        </is>
      </c>
      <c r="C116" s="14" t="inlineStr">
        <is>
          <t>AFS</t>
        </is>
      </c>
      <c r="D116" s="14" t="inlineStr">
        <is>
          <t>WC488</t>
        </is>
      </c>
      <c r="E116" s="14" t="inlineStr">
        <is>
          <t>Matched</t>
        </is>
      </c>
      <c r="F116" s="14" t="inlineStr">
        <is>
          <t>No</t>
        </is>
      </c>
      <c r="G116" s="14" t="inlineStr">
        <is>
          <t>Microsoft Defender for Office 365 (Plan 2)</t>
        </is>
      </c>
      <c r="H116" s="14" t="inlineStr">
        <is>
          <t>Likely billable</t>
        </is>
      </c>
      <c r="I116" s="18">
        <f>IFERROR(VLOOKUP(G116,SKU_Cost_Input!$A$2:$E$16,4,FALSE),0)</f>
        <v/>
      </c>
      <c r="J116" s="14">
        <f>IFERROR(VLOOKUP(G116,SKU_Cost_Input!$A$2:$E$16,2,FALSE),0)</f>
        <v/>
      </c>
      <c r="K116" s="18">
        <f>IF(J116=0,0,I116/J116)</f>
        <v/>
      </c>
      <c r="L116" s="18">
        <f>K116</f>
        <v/>
      </c>
      <c r="M116" s="14" t="inlineStr">
        <is>
          <t>Exact company email match</t>
        </is>
      </c>
      <c r="N116" s="14" t="inlineStr"/>
    </row>
    <row r="117">
      <c r="A117" s="14" t="inlineStr">
        <is>
          <t>ethel.mienie@WearCheckRS.com</t>
        </is>
      </c>
      <c r="B117" s="14" t="inlineStr">
        <is>
          <t>Ethel Mienie</t>
        </is>
      </c>
      <c r="C117" s="14" t="inlineStr">
        <is>
          <t>AFS</t>
        </is>
      </c>
      <c r="D117" s="14" t="inlineStr">
        <is>
          <t>WC488</t>
        </is>
      </c>
      <c r="E117" s="14" t="inlineStr">
        <is>
          <t>Matched</t>
        </is>
      </c>
      <c r="F117" s="14" t="inlineStr">
        <is>
          <t>No</t>
        </is>
      </c>
      <c r="G117" s="14" t="inlineStr">
        <is>
          <t>Microsoft 365 Business Standard</t>
        </is>
      </c>
      <c r="H117" s="14" t="inlineStr">
        <is>
          <t>Likely billable</t>
        </is>
      </c>
      <c r="I117" s="18">
        <f>IFERROR(VLOOKUP(G117,SKU_Cost_Input!$A$2:$E$16,4,FALSE),0)</f>
        <v/>
      </c>
      <c r="J117" s="14">
        <f>IFERROR(VLOOKUP(G117,SKU_Cost_Input!$A$2:$E$16,2,FALSE),0)</f>
        <v/>
      </c>
      <c r="K117" s="18">
        <f>IF(J117=0,0,I117/J117)</f>
        <v/>
      </c>
      <c r="L117" s="18">
        <f>K117</f>
        <v/>
      </c>
      <c r="M117" s="14" t="inlineStr">
        <is>
          <t>Exact company email match</t>
        </is>
      </c>
      <c r="N117" s="14" t="inlineStr">
        <is>
          <t>Review: Business Standard — consider Business Basic if sufficient</t>
        </is>
      </c>
    </row>
    <row r="118">
      <c r="A118" s="14" t="inlineStr">
        <is>
          <t>eugene@WearCheckRS.com</t>
        </is>
      </c>
      <c r="B118" s="14" t="inlineStr">
        <is>
          <t>Eugene Scheepers</t>
        </is>
      </c>
      <c r="C118" s="14" t="inlineStr">
        <is>
          <t>RS</t>
        </is>
      </c>
      <c r="D118" s="14" t="inlineStr">
        <is>
          <t>WEC090</t>
        </is>
      </c>
      <c r="E118" s="14" t="inlineStr">
        <is>
          <t>Matched</t>
        </is>
      </c>
      <c r="F118" s="14" t="inlineStr">
        <is>
          <t>No</t>
        </is>
      </c>
      <c r="G118" s="14" t="inlineStr">
        <is>
          <t>Microsoft Defender for Office 365 (Plan 2)</t>
        </is>
      </c>
      <c r="H118" s="14" t="inlineStr">
        <is>
          <t>Likely billable</t>
        </is>
      </c>
      <c r="I118" s="18">
        <f>IFERROR(VLOOKUP(G118,SKU_Cost_Input!$A$2:$E$16,4,FALSE),0)</f>
        <v/>
      </c>
      <c r="J118" s="14">
        <f>IFERROR(VLOOKUP(G118,SKU_Cost_Input!$A$2:$E$16,2,FALSE),0)</f>
        <v/>
      </c>
      <c r="K118" s="18">
        <f>IF(J118=0,0,I118/J118)</f>
        <v/>
      </c>
      <c r="L118" s="18">
        <f>K118</f>
        <v/>
      </c>
      <c r="M118" s="14" t="inlineStr">
        <is>
          <t>Exact company email match</t>
        </is>
      </c>
      <c r="N118" s="14" t="inlineStr"/>
    </row>
    <row r="119">
      <c r="A119" s="14" t="inlineStr">
        <is>
          <t>eugene@WearCheckRS.com</t>
        </is>
      </c>
      <c r="B119" s="14" t="inlineStr">
        <is>
          <t>Eugene Scheepers</t>
        </is>
      </c>
      <c r="C119" s="14" t="inlineStr">
        <is>
          <t>RS</t>
        </is>
      </c>
      <c r="D119" s="14" t="inlineStr">
        <is>
          <t>WEC090</t>
        </is>
      </c>
      <c r="E119" s="14" t="inlineStr">
        <is>
          <t>Matched</t>
        </is>
      </c>
      <c r="F119" s="14" t="inlineStr">
        <is>
          <t>No</t>
        </is>
      </c>
      <c r="G119" s="14" t="inlineStr">
        <is>
          <t>Microsoft 365 Business Standard</t>
        </is>
      </c>
      <c r="H119" s="14" t="inlineStr">
        <is>
          <t>Likely billable</t>
        </is>
      </c>
      <c r="I119" s="18">
        <f>IFERROR(VLOOKUP(G119,SKU_Cost_Input!$A$2:$E$16,4,FALSE),0)</f>
        <v/>
      </c>
      <c r="J119" s="14">
        <f>IFERROR(VLOOKUP(G119,SKU_Cost_Input!$A$2:$E$16,2,FALSE),0)</f>
        <v/>
      </c>
      <c r="K119" s="18">
        <f>IF(J119=0,0,I119/J119)</f>
        <v/>
      </c>
      <c r="L119" s="18">
        <f>K119</f>
        <v/>
      </c>
      <c r="M119" s="14" t="inlineStr">
        <is>
          <t>Exact company email match</t>
        </is>
      </c>
      <c r="N119" s="14" t="inlineStr">
        <is>
          <t>Review: Business Standard — consider Business Basic if sufficient</t>
        </is>
      </c>
    </row>
    <row r="120">
      <c r="A120" s="14" t="inlineStr">
        <is>
          <t>Evert@WearCheckRS.com</t>
        </is>
      </c>
      <c r="B120" s="14" t="inlineStr">
        <is>
          <t>Evert Viljoen</t>
        </is>
      </c>
      <c r="C120" s="14" t="inlineStr">
        <is>
          <t>AFS</t>
        </is>
      </c>
      <c r="D120" s="14" t="inlineStr">
        <is>
          <t>WC497</t>
        </is>
      </c>
      <c r="E120" s="14" t="inlineStr">
        <is>
          <t>Matched</t>
        </is>
      </c>
      <c r="F120" s="14" t="inlineStr">
        <is>
          <t>No</t>
        </is>
      </c>
      <c r="G120" s="14" t="inlineStr">
        <is>
          <t>Microsoft Defender for Office 365 (Plan 2)</t>
        </is>
      </c>
      <c r="H120" s="14" t="inlineStr">
        <is>
          <t>Likely billable</t>
        </is>
      </c>
      <c r="I120" s="18">
        <f>IFERROR(VLOOKUP(G120,SKU_Cost_Input!$A$2:$E$16,4,FALSE),0)</f>
        <v/>
      </c>
      <c r="J120" s="14">
        <f>IFERROR(VLOOKUP(G120,SKU_Cost_Input!$A$2:$E$16,2,FALSE),0)</f>
        <v/>
      </c>
      <c r="K120" s="18">
        <f>IF(J120=0,0,I120/J120)</f>
        <v/>
      </c>
      <c r="L120" s="18">
        <f>K120</f>
        <v/>
      </c>
      <c r="M120" s="14" t="inlineStr">
        <is>
          <t>Matched via exact name</t>
        </is>
      </c>
      <c r="N120" s="14" t="inlineStr"/>
    </row>
    <row r="121">
      <c r="A121" s="14" t="inlineStr">
        <is>
          <t>Evert@WearCheckRS.com</t>
        </is>
      </c>
      <c r="B121" s="14" t="inlineStr">
        <is>
          <t>Evert Viljoen</t>
        </is>
      </c>
      <c r="C121" s="14" t="inlineStr">
        <is>
          <t>AFS</t>
        </is>
      </c>
      <c r="D121" s="14" t="inlineStr">
        <is>
          <t>WC497</t>
        </is>
      </c>
      <c r="E121" s="14" t="inlineStr">
        <is>
          <t>Matched</t>
        </is>
      </c>
      <c r="F121" s="14" t="inlineStr">
        <is>
          <t>No</t>
        </is>
      </c>
      <c r="G121" s="14" t="inlineStr">
        <is>
          <t>Microsoft 365 Business Premium</t>
        </is>
      </c>
      <c r="H121" s="14" t="inlineStr">
        <is>
          <t>Likely billable</t>
        </is>
      </c>
      <c r="I121" s="18">
        <f>IFERROR(VLOOKUP(G121,SKU_Cost_Input!$A$2:$E$16,4,FALSE),0)</f>
        <v/>
      </c>
      <c r="J121" s="14">
        <f>IFERROR(VLOOKUP(G121,SKU_Cost_Input!$A$2:$E$16,2,FALSE),0)</f>
        <v/>
      </c>
      <c r="K121" s="18">
        <f>IF(J121=0,0,I121/J121)</f>
        <v/>
      </c>
      <c r="L121" s="18">
        <f>K121</f>
        <v/>
      </c>
      <c r="M121" s="14" t="inlineStr">
        <is>
          <t>Matched via exact name</t>
        </is>
      </c>
      <c r="N121" s="14" t="inlineStr">
        <is>
          <t>Review: Business Premium — consider Business Basic/Standard</t>
        </is>
      </c>
    </row>
    <row r="122">
      <c r="A122" s="14" t="inlineStr">
        <is>
          <t>flirirvm1@WearCheckRS.com</t>
        </is>
      </c>
      <c r="B122" s="14" t="inlineStr">
        <is>
          <t>FLIRIRVM1</t>
        </is>
      </c>
      <c r="C122" s="14" t="inlineStr">
        <is>
          <t>RS</t>
        </is>
      </c>
      <c r="D122" s="14" t="n"/>
      <c r="E122" s="14" t="inlineStr">
        <is>
          <t>Mapped by rule</t>
        </is>
      </c>
      <c r="F122" s="14" t="inlineStr">
        <is>
          <t>No</t>
        </is>
      </c>
      <c r="G122" s="14" t="inlineStr">
        <is>
          <t>Microsoft Defender for Office 365 (Plan 2)</t>
        </is>
      </c>
      <c r="H122" s="14" t="inlineStr">
        <is>
          <t>Likely billable</t>
        </is>
      </c>
      <c r="I122" s="18">
        <f>IFERROR(VLOOKUP(G122,SKU_Cost_Input!$A$2:$E$16,4,FALSE),0)</f>
        <v/>
      </c>
      <c r="J122" s="14">
        <f>IFERROR(VLOOKUP(G122,SKU_Cost_Input!$A$2:$E$16,2,FALSE),0)</f>
        <v/>
      </c>
      <c r="K122" s="18">
        <f>IF(J122=0,0,I122/J122)</f>
        <v/>
      </c>
      <c r="L122" s="18">
        <f>K122</f>
        <v/>
      </c>
      <c r="M122" s="14" t="inlineStr">
        <is>
          <t>Generic/shared/service account defaulted to RS per instruction</t>
        </is>
      </c>
      <c r="N122" s="14" t="inlineStr"/>
    </row>
    <row r="123">
      <c r="A123" s="14" t="inlineStr">
        <is>
          <t>flirirvm1@WearCheckRS.com</t>
        </is>
      </c>
      <c r="B123" s="14" t="inlineStr">
        <is>
          <t>FLIRIRVM1</t>
        </is>
      </c>
      <c r="C123" s="14" t="inlineStr">
        <is>
          <t>RS</t>
        </is>
      </c>
      <c r="D123" s="14" t="n"/>
      <c r="E123" s="14" t="inlineStr">
        <is>
          <t>Mapped by rule</t>
        </is>
      </c>
      <c r="F123" s="14" t="inlineStr">
        <is>
          <t>No</t>
        </is>
      </c>
      <c r="G123" s="14" t="inlineStr">
        <is>
          <t>Microsoft 365 Business Standard</t>
        </is>
      </c>
      <c r="H123" s="14" t="inlineStr">
        <is>
          <t>Likely billable</t>
        </is>
      </c>
      <c r="I123" s="18">
        <f>IFERROR(VLOOKUP(G123,SKU_Cost_Input!$A$2:$E$16,4,FALSE),0)</f>
        <v/>
      </c>
      <c r="J123" s="14">
        <f>IFERROR(VLOOKUP(G123,SKU_Cost_Input!$A$2:$E$16,2,FALSE),0)</f>
        <v/>
      </c>
      <c r="K123" s="18">
        <f>IF(J123=0,0,I123/J123)</f>
        <v/>
      </c>
      <c r="L123" s="18">
        <f>K123</f>
        <v/>
      </c>
      <c r="M123" s="14" t="inlineStr">
        <is>
          <t>Generic/shared/service account defaulted to RS per instruction</t>
        </is>
      </c>
      <c r="N123" s="14" t="inlineStr">
        <is>
          <t>Review: Business Standard — consider Business Basic if sufficient</t>
        </is>
      </c>
    </row>
    <row r="124">
      <c r="A124" s="14" t="inlineStr">
        <is>
          <t>flirirvm2@WearCheckRS.com</t>
        </is>
      </c>
      <c r="B124" s="14" t="inlineStr">
        <is>
          <t>flirirvm2</t>
        </is>
      </c>
      <c r="C124" s="14" t="inlineStr">
        <is>
          <t>RS</t>
        </is>
      </c>
      <c r="D124" s="14" t="n"/>
      <c r="E124" s="14" t="inlineStr">
        <is>
          <t>Mapped by rule</t>
        </is>
      </c>
      <c r="F124" s="14" t="inlineStr">
        <is>
          <t>No</t>
        </is>
      </c>
      <c r="G124" s="14" t="inlineStr">
        <is>
          <t>Microsoft Defender for Office 365 (Plan 2)</t>
        </is>
      </c>
      <c r="H124" s="14" t="inlineStr">
        <is>
          <t>Likely billable</t>
        </is>
      </c>
      <c r="I124" s="18">
        <f>IFERROR(VLOOKUP(G124,SKU_Cost_Input!$A$2:$E$16,4,FALSE),0)</f>
        <v/>
      </c>
      <c r="J124" s="14">
        <f>IFERROR(VLOOKUP(G124,SKU_Cost_Input!$A$2:$E$16,2,FALSE),0)</f>
        <v/>
      </c>
      <c r="K124" s="18">
        <f>IF(J124=0,0,I124/J124)</f>
        <v/>
      </c>
      <c r="L124" s="18">
        <f>K124</f>
        <v/>
      </c>
      <c r="M124" s="14" t="inlineStr">
        <is>
          <t>Generic/shared/service account defaulted to RS per instruction</t>
        </is>
      </c>
      <c r="N124" s="14" t="inlineStr"/>
    </row>
    <row r="125">
      <c r="A125" s="14" t="inlineStr">
        <is>
          <t>flirirvm2@WearCheckRS.com</t>
        </is>
      </c>
      <c r="B125" s="14" t="inlineStr">
        <is>
          <t>flirirvm2</t>
        </is>
      </c>
      <c r="C125" s="14" t="inlineStr">
        <is>
          <t>RS</t>
        </is>
      </c>
      <c r="D125" s="14" t="n"/>
      <c r="E125" s="14" t="inlineStr">
        <is>
          <t>Mapped by rule</t>
        </is>
      </c>
      <c r="F125" s="14" t="inlineStr">
        <is>
          <t>No</t>
        </is>
      </c>
      <c r="G125" s="14" t="inlineStr">
        <is>
          <t>Microsoft Fabric (Free)</t>
        </is>
      </c>
      <c r="H125" s="14" t="inlineStr">
        <is>
          <t>Likely free / trial</t>
        </is>
      </c>
      <c r="I125" s="18">
        <f>IFERROR(VLOOKUP(G125,SKU_Cost_Input!$A$2:$E$16,4,FALSE),0)</f>
        <v/>
      </c>
      <c r="J125" s="14">
        <f>IFERROR(VLOOKUP(G125,SKU_Cost_Input!$A$2:$E$16,2,FALSE),0)</f>
        <v/>
      </c>
      <c r="K125" s="18">
        <f>IF(J125=0,0,I125/J125)</f>
        <v/>
      </c>
      <c r="L125" s="18">
        <f>K125</f>
        <v/>
      </c>
      <c r="M125" s="14" t="inlineStr">
        <is>
          <t>Generic/shared/service account defaulted to RS per instruction</t>
        </is>
      </c>
      <c r="N125" s="14" t="inlineStr"/>
    </row>
    <row r="126">
      <c r="A126" s="14" t="inlineStr">
        <is>
          <t>flirirvm2@WearCheckRS.com</t>
        </is>
      </c>
      <c r="B126" s="14" t="inlineStr">
        <is>
          <t>flirirvm2</t>
        </is>
      </c>
      <c r="C126" s="14" t="inlineStr">
        <is>
          <t>RS</t>
        </is>
      </c>
      <c r="D126" s="14" t="n"/>
      <c r="E126" s="14" t="inlineStr">
        <is>
          <t>Mapped by rule</t>
        </is>
      </c>
      <c r="F126" s="14" t="inlineStr">
        <is>
          <t>No</t>
        </is>
      </c>
      <c r="G126" s="14" t="inlineStr">
        <is>
          <t>Microsoft 365 Business Standard</t>
        </is>
      </c>
      <c r="H126" s="14" t="inlineStr">
        <is>
          <t>Likely billable</t>
        </is>
      </c>
      <c r="I126" s="18">
        <f>IFERROR(VLOOKUP(G126,SKU_Cost_Input!$A$2:$E$16,4,FALSE),0)</f>
        <v/>
      </c>
      <c r="J126" s="14">
        <f>IFERROR(VLOOKUP(G126,SKU_Cost_Input!$A$2:$E$16,2,FALSE),0)</f>
        <v/>
      </c>
      <c r="K126" s="18">
        <f>IF(J126=0,0,I126/J126)</f>
        <v/>
      </c>
      <c r="L126" s="18">
        <f>K126</f>
        <v/>
      </c>
      <c r="M126" s="14" t="inlineStr">
        <is>
          <t>Generic/shared/service account defaulted to RS per instruction</t>
        </is>
      </c>
      <c r="N126" s="14" t="inlineStr">
        <is>
          <t>Review: Business Standard — consider Business Basic if sufficient</t>
        </is>
      </c>
    </row>
    <row r="127">
      <c r="A127" s="14" t="inlineStr">
        <is>
          <t>flirirvm3@WearCheckRS.com</t>
        </is>
      </c>
      <c r="B127" s="14" t="inlineStr">
        <is>
          <t>flirirvm3</t>
        </is>
      </c>
      <c r="C127" s="14" t="inlineStr">
        <is>
          <t>RS</t>
        </is>
      </c>
      <c r="D127" s="14" t="n"/>
      <c r="E127" s="14" t="inlineStr">
        <is>
          <t>Mapped by rule</t>
        </is>
      </c>
      <c r="F127" s="14" t="inlineStr">
        <is>
          <t>No</t>
        </is>
      </c>
      <c r="G127" s="14" t="inlineStr">
        <is>
          <t>Microsoft Defender for Office 365 (Plan 2)</t>
        </is>
      </c>
      <c r="H127" s="14" t="inlineStr">
        <is>
          <t>Likely billable</t>
        </is>
      </c>
      <c r="I127" s="18">
        <f>IFERROR(VLOOKUP(G127,SKU_Cost_Input!$A$2:$E$16,4,FALSE),0)</f>
        <v/>
      </c>
      <c r="J127" s="14">
        <f>IFERROR(VLOOKUP(G127,SKU_Cost_Input!$A$2:$E$16,2,FALSE),0)</f>
        <v/>
      </c>
      <c r="K127" s="18">
        <f>IF(J127=0,0,I127/J127)</f>
        <v/>
      </c>
      <c r="L127" s="18">
        <f>K127</f>
        <v/>
      </c>
      <c r="M127" s="14" t="inlineStr">
        <is>
          <t>Generic/shared/service account defaulted to RS per instruction</t>
        </is>
      </c>
      <c r="N127" s="14" t="inlineStr"/>
    </row>
    <row r="128">
      <c r="A128" s="14" t="inlineStr">
        <is>
          <t>flirirvm3@WearCheckRS.com</t>
        </is>
      </c>
      <c r="B128" s="14" t="inlineStr">
        <is>
          <t>flirirvm3</t>
        </is>
      </c>
      <c r="C128" s="14" t="inlineStr">
        <is>
          <t>RS</t>
        </is>
      </c>
      <c r="D128" s="14" t="n"/>
      <c r="E128" s="14" t="inlineStr">
        <is>
          <t>Mapped by rule</t>
        </is>
      </c>
      <c r="F128" s="14" t="inlineStr">
        <is>
          <t>No</t>
        </is>
      </c>
      <c r="G128" s="14" t="inlineStr">
        <is>
          <t>Microsoft Fabric (Free)</t>
        </is>
      </c>
      <c r="H128" s="14" t="inlineStr">
        <is>
          <t>Likely free / trial</t>
        </is>
      </c>
      <c r="I128" s="18">
        <f>IFERROR(VLOOKUP(G128,SKU_Cost_Input!$A$2:$E$16,4,FALSE),0)</f>
        <v/>
      </c>
      <c r="J128" s="14">
        <f>IFERROR(VLOOKUP(G128,SKU_Cost_Input!$A$2:$E$16,2,FALSE),0)</f>
        <v/>
      </c>
      <c r="K128" s="18">
        <f>IF(J128=0,0,I128/J128)</f>
        <v/>
      </c>
      <c r="L128" s="18">
        <f>K128</f>
        <v/>
      </c>
      <c r="M128" s="14" t="inlineStr">
        <is>
          <t>Generic/shared/service account defaulted to RS per instruction</t>
        </is>
      </c>
      <c r="N128" s="14" t="inlineStr"/>
    </row>
    <row r="129">
      <c r="A129" s="14" t="inlineStr">
        <is>
          <t>flirirvm3@WearCheckRS.com</t>
        </is>
      </c>
      <c r="B129" s="14" t="inlineStr">
        <is>
          <t>flirirvm3</t>
        </is>
      </c>
      <c r="C129" s="14" t="inlineStr">
        <is>
          <t>RS</t>
        </is>
      </c>
      <c r="D129" s="14" t="n"/>
      <c r="E129" s="14" t="inlineStr">
        <is>
          <t>Mapped by rule</t>
        </is>
      </c>
      <c r="F129" s="14" t="inlineStr">
        <is>
          <t>No</t>
        </is>
      </c>
      <c r="G129" s="14" t="inlineStr">
        <is>
          <t>Microsoft 365 Business Standard</t>
        </is>
      </c>
      <c r="H129" s="14" t="inlineStr">
        <is>
          <t>Likely billable</t>
        </is>
      </c>
      <c r="I129" s="18">
        <f>IFERROR(VLOOKUP(G129,SKU_Cost_Input!$A$2:$E$16,4,FALSE),0)</f>
        <v/>
      </c>
      <c r="J129" s="14">
        <f>IFERROR(VLOOKUP(G129,SKU_Cost_Input!$A$2:$E$16,2,FALSE),0)</f>
        <v/>
      </c>
      <c r="K129" s="18">
        <f>IF(J129=0,0,I129/J129)</f>
        <v/>
      </c>
      <c r="L129" s="18">
        <f>K129</f>
        <v/>
      </c>
      <c r="M129" s="14" t="inlineStr">
        <is>
          <t>Generic/shared/service account defaulted to RS per instruction</t>
        </is>
      </c>
      <c r="N129" s="14" t="inlineStr">
        <is>
          <t>Review: Business Standard — consider Business Basic if sufficient</t>
        </is>
      </c>
    </row>
    <row r="130">
      <c r="A130" s="14" t="inlineStr">
        <is>
          <t>franciosp@WearCheckRS.com</t>
        </is>
      </c>
      <c r="B130" s="14" t="inlineStr">
        <is>
          <t>Francios Pretorius</t>
        </is>
      </c>
      <c r="C130" s="14" t="inlineStr">
        <is>
          <t>RS</t>
        </is>
      </c>
      <c r="D130" s="14" t="inlineStr">
        <is>
          <t>WEC080</t>
        </is>
      </c>
      <c r="E130" s="14" t="inlineStr">
        <is>
          <t>Matched</t>
        </is>
      </c>
      <c r="F130" s="14" t="inlineStr">
        <is>
          <t>No</t>
        </is>
      </c>
      <c r="G130" s="14" t="inlineStr">
        <is>
          <t>Microsoft Defender for Office 365 (Plan 2)</t>
        </is>
      </c>
      <c r="H130" s="14" t="inlineStr">
        <is>
          <t>Likely billable</t>
        </is>
      </c>
      <c r="I130" s="18">
        <f>IFERROR(VLOOKUP(G130,SKU_Cost_Input!$A$2:$E$16,4,FALSE),0)</f>
        <v/>
      </c>
      <c r="J130" s="14">
        <f>IFERROR(VLOOKUP(G130,SKU_Cost_Input!$A$2:$E$16,2,FALSE),0)</f>
        <v/>
      </c>
      <c r="K130" s="18">
        <f>IF(J130=0,0,I130/J130)</f>
        <v/>
      </c>
      <c r="L130" s="18">
        <f>K130</f>
        <v/>
      </c>
      <c r="M130" s="14" t="inlineStr">
        <is>
          <t>Exact company email match</t>
        </is>
      </c>
      <c r="N130" s="14" t="inlineStr"/>
    </row>
    <row r="131">
      <c r="A131" s="14" t="inlineStr">
        <is>
          <t>franciosp@WearCheckRS.com</t>
        </is>
      </c>
      <c r="B131" s="14" t="inlineStr">
        <is>
          <t>Francios Pretorius</t>
        </is>
      </c>
      <c r="C131" s="14" t="inlineStr">
        <is>
          <t>RS</t>
        </is>
      </c>
      <c r="D131" s="14" t="inlineStr">
        <is>
          <t>WEC080</t>
        </is>
      </c>
      <c r="E131" s="14" t="inlineStr">
        <is>
          <t>Matched</t>
        </is>
      </c>
      <c r="F131" s="14" t="inlineStr">
        <is>
          <t>No</t>
        </is>
      </c>
      <c r="G131" s="14" t="inlineStr">
        <is>
          <t>Microsoft Power Automate Free</t>
        </is>
      </c>
      <c r="H131" s="14" t="inlineStr">
        <is>
          <t>Likely free / trial</t>
        </is>
      </c>
      <c r="I131" s="18">
        <f>IFERROR(VLOOKUP(G131,SKU_Cost_Input!$A$2:$E$16,4,FALSE),0)</f>
        <v/>
      </c>
      <c r="J131" s="14">
        <f>IFERROR(VLOOKUP(G131,SKU_Cost_Input!$A$2:$E$16,2,FALSE),0)</f>
        <v/>
      </c>
      <c r="K131" s="18">
        <f>IF(J131=0,0,I131/J131)</f>
        <v/>
      </c>
      <c r="L131" s="18">
        <f>K131</f>
        <v/>
      </c>
      <c r="M131" s="14" t="inlineStr">
        <is>
          <t>Exact company email match</t>
        </is>
      </c>
      <c r="N131" s="14" t="inlineStr"/>
    </row>
    <row r="132">
      <c r="A132" s="14" t="inlineStr">
        <is>
          <t>franciosp@WearCheckRS.com</t>
        </is>
      </c>
      <c r="B132" s="14" t="inlineStr">
        <is>
          <t>Francios Pretorius</t>
        </is>
      </c>
      <c r="C132" s="14" t="inlineStr">
        <is>
          <t>RS</t>
        </is>
      </c>
      <c r="D132" s="14" t="inlineStr">
        <is>
          <t>WEC080</t>
        </is>
      </c>
      <c r="E132" s="14" t="inlineStr">
        <is>
          <t>Matched</t>
        </is>
      </c>
      <c r="F132" s="14" t="inlineStr">
        <is>
          <t>No</t>
        </is>
      </c>
      <c r="G132" s="14" t="inlineStr">
        <is>
          <t>Microsoft 365 Business Standard</t>
        </is>
      </c>
      <c r="H132" s="14" t="inlineStr">
        <is>
          <t>Likely billable</t>
        </is>
      </c>
      <c r="I132" s="18">
        <f>IFERROR(VLOOKUP(G132,SKU_Cost_Input!$A$2:$E$16,4,FALSE),0)</f>
        <v/>
      </c>
      <c r="J132" s="14">
        <f>IFERROR(VLOOKUP(G132,SKU_Cost_Input!$A$2:$E$16,2,FALSE),0)</f>
        <v/>
      </c>
      <c r="K132" s="18">
        <f>IF(J132=0,0,I132/J132)</f>
        <v/>
      </c>
      <c r="L132" s="18">
        <f>K132</f>
        <v/>
      </c>
      <c r="M132" s="14" t="inlineStr">
        <is>
          <t>Exact company email match</t>
        </is>
      </c>
      <c r="N132" s="14" t="inlineStr">
        <is>
          <t>Review: Business Standard — consider Business Basic if sufficient</t>
        </is>
      </c>
    </row>
    <row r="133">
      <c r="A133" s="14" t="inlineStr">
        <is>
          <t>FrancoisP@WearCheckRS.com</t>
        </is>
      </c>
      <c r="B133" s="14" t="inlineStr">
        <is>
          <t>Francois Pienaar</t>
        </is>
      </c>
      <c r="C133" s="14" t="inlineStr">
        <is>
          <t>RS</t>
        </is>
      </c>
      <c r="D133" s="14" t="inlineStr">
        <is>
          <t>WEC111</t>
        </is>
      </c>
      <c r="E133" s="14" t="inlineStr">
        <is>
          <t>Matched</t>
        </is>
      </c>
      <c r="F133" s="14" t="inlineStr">
        <is>
          <t>No</t>
        </is>
      </c>
      <c r="G133" s="14" t="inlineStr">
        <is>
          <t>Microsoft Defender for Office 365 (Plan 2)</t>
        </is>
      </c>
      <c r="H133" s="14" t="inlineStr">
        <is>
          <t>Likely billable</t>
        </is>
      </c>
      <c r="I133" s="18">
        <f>IFERROR(VLOOKUP(G133,SKU_Cost_Input!$A$2:$E$16,4,FALSE),0)</f>
        <v/>
      </c>
      <c r="J133" s="14">
        <f>IFERROR(VLOOKUP(G133,SKU_Cost_Input!$A$2:$E$16,2,FALSE),0)</f>
        <v/>
      </c>
      <c r="K133" s="18">
        <f>IF(J133=0,0,I133/J133)</f>
        <v/>
      </c>
      <c r="L133" s="18">
        <f>K133</f>
        <v/>
      </c>
      <c r="M133" s="14" t="inlineStr">
        <is>
          <t>Exact company email match</t>
        </is>
      </c>
      <c r="N133" s="14" t="inlineStr"/>
    </row>
    <row r="134">
      <c r="A134" s="14" t="inlineStr">
        <is>
          <t>FrancoisP@WearCheckRS.com</t>
        </is>
      </c>
      <c r="B134" s="14" t="inlineStr">
        <is>
          <t>Francois Pienaar</t>
        </is>
      </c>
      <c r="C134" s="14" t="inlineStr">
        <is>
          <t>RS</t>
        </is>
      </c>
      <c r="D134" s="14" t="inlineStr">
        <is>
          <t>WEC111</t>
        </is>
      </c>
      <c r="E134" s="14" t="inlineStr">
        <is>
          <t>Matched</t>
        </is>
      </c>
      <c r="F134" s="14" t="inlineStr">
        <is>
          <t>No</t>
        </is>
      </c>
      <c r="G134" s="14" t="inlineStr">
        <is>
          <t>Microsoft Fabric (Free)</t>
        </is>
      </c>
      <c r="H134" s="14" t="inlineStr">
        <is>
          <t>Likely free / trial</t>
        </is>
      </c>
      <c r="I134" s="18">
        <f>IFERROR(VLOOKUP(G134,SKU_Cost_Input!$A$2:$E$16,4,FALSE),0)</f>
        <v/>
      </c>
      <c r="J134" s="14">
        <f>IFERROR(VLOOKUP(G134,SKU_Cost_Input!$A$2:$E$16,2,FALSE),0)</f>
        <v/>
      </c>
      <c r="K134" s="18">
        <f>IF(J134=0,0,I134/J134)</f>
        <v/>
      </c>
      <c r="L134" s="18">
        <f>K134</f>
        <v/>
      </c>
      <c r="M134" s="14" t="inlineStr">
        <is>
          <t>Exact company email match</t>
        </is>
      </c>
      <c r="N134" s="14" t="inlineStr"/>
    </row>
    <row r="135">
      <c r="A135" s="14" t="inlineStr">
        <is>
          <t>FrancoisP@WearCheckRS.com</t>
        </is>
      </c>
      <c r="B135" s="14" t="inlineStr">
        <is>
          <t>Francois Pienaar</t>
        </is>
      </c>
      <c r="C135" s="14" t="inlineStr">
        <is>
          <t>RS</t>
        </is>
      </c>
      <c r="D135" s="14" t="inlineStr">
        <is>
          <t>WEC111</t>
        </is>
      </c>
      <c r="E135" s="14" t="inlineStr">
        <is>
          <t>Matched</t>
        </is>
      </c>
      <c r="F135" s="14" t="inlineStr">
        <is>
          <t>No</t>
        </is>
      </c>
      <c r="G135" s="14" t="inlineStr">
        <is>
          <t>Microsoft 365 Business Standard</t>
        </is>
      </c>
      <c r="H135" s="14" t="inlineStr">
        <is>
          <t>Likely billable</t>
        </is>
      </c>
      <c r="I135" s="18">
        <f>IFERROR(VLOOKUP(G135,SKU_Cost_Input!$A$2:$E$16,4,FALSE),0)</f>
        <v/>
      </c>
      <c r="J135" s="14">
        <f>IFERROR(VLOOKUP(G135,SKU_Cost_Input!$A$2:$E$16,2,FALSE),0)</f>
        <v/>
      </c>
      <c r="K135" s="18">
        <f>IF(J135=0,0,I135/J135)</f>
        <v/>
      </c>
      <c r="L135" s="18">
        <f>K135</f>
        <v/>
      </c>
      <c r="M135" s="14" t="inlineStr">
        <is>
          <t>Exact company email match</t>
        </is>
      </c>
      <c r="N135" s="14" t="inlineStr">
        <is>
          <t>Review: Business Standard — consider Business Basic if sufficient</t>
        </is>
      </c>
    </row>
    <row r="136">
      <c r="A136" s="14" t="inlineStr">
        <is>
          <t>FrancoisP@WearCheckRS.com</t>
        </is>
      </c>
      <c r="B136" s="14" t="inlineStr">
        <is>
          <t>Francois Pienaar</t>
        </is>
      </c>
      <c r="C136" s="14" t="inlineStr">
        <is>
          <t>RS</t>
        </is>
      </c>
      <c r="D136" s="14" t="inlineStr">
        <is>
          <t>WEC111</t>
        </is>
      </c>
      <c r="E136" s="14" t="inlineStr">
        <is>
          <t>Matched</t>
        </is>
      </c>
      <c r="F136" s="14" t="inlineStr">
        <is>
          <t>No</t>
        </is>
      </c>
      <c r="G136" s="14" t="inlineStr">
        <is>
          <t>Microsoft Power Automate Free</t>
        </is>
      </c>
      <c r="H136" s="14" t="inlineStr">
        <is>
          <t>Likely free / trial</t>
        </is>
      </c>
      <c r="I136" s="18">
        <f>IFERROR(VLOOKUP(G136,SKU_Cost_Input!$A$2:$E$16,4,FALSE),0)</f>
        <v/>
      </c>
      <c r="J136" s="14">
        <f>IFERROR(VLOOKUP(G136,SKU_Cost_Input!$A$2:$E$16,2,FALSE),0)</f>
        <v/>
      </c>
      <c r="K136" s="18">
        <f>IF(J136=0,0,I136/J136)</f>
        <v/>
      </c>
      <c r="L136" s="18">
        <f>K136</f>
        <v/>
      </c>
      <c r="M136" s="14" t="inlineStr">
        <is>
          <t>Exact company email match</t>
        </is>
      </c>
      <c r="N136" s="14" t="inlineStr"/>
    </row>
    <row r="137">
      <c r="A137" s="14" t="inlineStr">
        <is>
          <t>francoisve@wearcheckrs.com</t>
        </is>
      </c>
      <c r="B137" s="14" t="inlineStr">
        <is>
          <t>Francois van Eden</t>
        </is>
      </c>
      <c r="C137" s="14" t="inlineStr">
        <is>
          <t>RS</t>
        </is>
      </c>
      <c r="D137" s="14" t="inlineStr">
        <is>
          <t>WC287</t>
        </is>
      </c>
      <c r="E137" s="14" t="inlineStr">
        <is>
          <t>Matched</t>
        </is>
      </c>
      <c r="F137" s="14" t="inlineStr">
        <is>
          <t>No</t>
        </is>
      </c>
      <c r="G137" s="14" t="inlineStr">
        <is>
          <t>Microsoft 365 Business Premium</t>
        </is>
      </c>
      <c r="H137" s="14" t="inlineStr">
        <is>
          <t>Likely billable</t>
        </is>
      </c>
      <c r="I137" s="18">
        <f>IFERROR(VLOOKUP(G137,SKU_Cost_Input!$A$2:$E$16,4,FALSE),0)</f>
        <v/>
      </c>
      <c r="J137" s="14">
        <f>IFERROR(VLOOKUP(G137,SKU_Cost_Input!$A$2:$E$16,2,FALSE),0)</f>
        <v/>
      </c>
      <c r="K137" s="18">
        <f>IF(J137=0,0,I137/J137)</f>
        <v/>
      </c>
      <c r="L137" s="18">
        <f>K137</f>
        <v/>
      </c>
      <c r="M137" s="14" t="inlineStr">
        <is>
          <t>Exact company email match</t>
        </is>
      </c>
      <c r="N137" s="14" t="inlineStr">
        <is>
          <t>Review: Business Premium — consider Business Basic/Standard</t>
        </is>
      </c>
    </row>
    <row r="138">
      <c r="A138" s="14" t="inlineStr">
        <is>
          <t>francoisve@wearcheckrs.com</t>
        </is>
      </c>
      <c r="B138" s="14" t="inlineStr">
        <is>
          <t>Francois van Eden</t>
        </is>
      </c>
      <c r="C138" s="14" t="inlineStr">
        <is>
          <t>RS</t>
        </is>
      </c>
      <c r="D138" s="14" t="inlineStr">
        <is>
          <t>WC287</t>
        </is>
      </c>
      <c r="E138" s="14" t="inlineStr">
        <is>
          <t>Matched</t>
        </is>
      </c>
      <c r="F138" s="14" t="inlineStr">
        <is>
          <t>No</t>
        </is>
      </c>
      <c r="G138" s="14" t="inlineStr">
        <is>
          <t>Microsoft Defender for Office 365 (Plan 2)</t>
        </is>
      </c>
      <c r="H138" s="14" t="inlineStr">
        <is>
          <t>Likely billable</t>
        </is>
      </c>
      <c r="I138" s="18">
        <f>IFERROR(VLOOKUP(G138,SKU_Cost_Input!$A$2:$E$16,4,FALSE),0)</f>
        <v/>
      </c>
      <c r="J138" s="14">
        <f>IFERROR(VLOOKUP(G138,SKU_Cost_Input!$A$2:$E$16,2,FALSE),0)</f>
        <v/>
      </c>
      <c r="K138" s="18">
        <f>IF(J138=0,0,I138/J138)</f>
        <v/>
      </c>
      <c r="L138" s="18">
        <f>K138</f>
        <v/>
      </c>
      <c r="M138" s="14" t="inlineStr">
        <is>
          <t>Exact company email match</t>
        </is>
      </c>
      <c r="N138" s="14" t="inlineStr"/>
    </row>
    <row r="139">
      <c r="A139" s="14" t="inlineStr">
        <is>
          <t>francoisve@wearcheckrs.com</t>
        </is>
      </c>
      <c r="B139" s="14" t="inlineStr">
        <is>
          <t>Francois van Eden</t>
        </is>
      </c>
      <c r="C139" s="14" t="inlineStr">
        <is>
          <t>RS</t>
        </is>
      </c>
      <c r="D139" s="14" t="inlineStr">
        <is>
          <t>WC287</t>
        </is>
      </c>
      <c r="E139" s="14" t="inlineStr">
        <is>
          <t>Matched</t>
        </is>
      </c>
      <c r="F139" s="14" t="inlineStr">
        <is>
          <t>No</t>
        </is>
      </c>
      <c r="G139" s="14" t="inlineStr">
        <is>
          <t>Microsoft Fabric (Free)</t>
        </is>
      </c>
      <c r="H139" s="14" t="inlineStr">
        <is>
          <t>Likely free / trial</t>
        </is>
      </c>
      <c r="I139" s="18">
        <f>IFERROR(VLOOKUP(G139,SKU_Cost_Input!$A$2:$E$16,4,FALSE),0)</f>
        <v/>
      </c>
      <c r="J139" s="14">
        <f>IFERROR(VLOOKUP(G139,SKU_Cost_Input!$A$2:$E$16,2,FALSE),0)</f>
        <v/>
      </c>
      <c r="K139" s="18">
        <f>IF(J139=0,0,I139/J139)</f>
        <v/>
      </c>
      <c r="L139" s="18">
        <f>K139</f>
        <v/>
      </c>
      <c r="M139" s="14" t="inlineStr">
        <is>
          <t>Exact company email match</t>
        </is>
      </c>
      <c r="N139" s="14" t="inlineStr"/>
    </row>
    <row r="140">
      <c r="A140" s="14" t="inlineStr">
        <is>
          <t>francoisve@wearcheckrs.com</t>
        </is>
      </c>
      <c r="B140" s="14" t="inlineStr">
        <is>
          <t>Francois van Eden</t>
        </is>
      </c>
      <c r="C140" s="14" t="inlineStr">
        <is>
          <t>RS</t>
        </is>
      </c>
      <c r="D140" s="14" t="inlineStr">
        <is>
          <t>WC287</t>
        </is>
      </c>
      <c r="E140" s="14" t="inlineStr">
        <is>
          <t>Matched</t>
        </is>
      </c>
      <c r="F140" s="14" t="inlineStr">
        <is>
          <t>No</t>
        </is>
      </c>
      <c r="G140" s="14" t="inlineStr">
        <is>
          <t>Microsoft Power Automate Free</t>
        </is>
      </c>
      <c r="H140" s="14" t="inlineStr">
        <is>
          <t>Likely free / trial</t>
        </is>
      </c>
      <c r="I140" s="18">
        <f>IFERROR(VLOOKUP(G140,SKU_Cost_Input!$A$2:$E$16,4,FALSE),0)</f>
        <v/>
      </c>
      <c r="J140" s="14">
        <f>IFERROR(VLOOKUP(G140,SKU_Cost_Input!$A$2:$E$16,2,FALSE),0)</f>
        <v/>
      </c>
      <c r="K140" s="18">
        <f>IF(J140=0,0,I140/J140)</f>
        <v/>
      </c>
      <c r="L140" s="18">
        <f>K140</f>
        <v/>
      </c>
      <c r="M140" s="14" t="inlineStr">
        <is>
          <t>Exact company email match</t>
        </is>
      </c>
      <c r="N140" s="14" t="inlineStr"/>
    </row>
    <row r="141">
      <c r="A141" s="14" t="inlineStr">
        <is>
          <t>Freddy-Ben@WearCheckRS.com</t>
        </is>
      </c>
      <c r="B141" s="14" t="inlineStr">
        <is>
          <t>Freddy-Ben Gariseb</t>
        </is>
      </c>
      <c r="C141" s="14" t="inlineStr">
        <is>
          <t>Namibia</t>
        </is>
      </c>
      <c r="D141" s="14" t="inlineStr">
        <is>
          <t>WCN004</t>
        </is>
      </c>
      <c r="E141" s="14" t="inlineStr">
        <is>
          <t>Matched</t>
        </is>
      </c>
      <c r="F141" s="14" t="inlineStr">
        <is>
          <t>No</t>
        </is>
      </c>
      <c r="G141" s="14" t="inlineStr">
        <is>
          <t>Microsoft Defender for Office 365 (Plan 2)</t>
        </is>
      </c>
      <c r="H141" s="14" t="inlineStr">
        <is>
          <t>Likely billable</t>
        </is>
      </c>
      <c r="I141" s="18">
        <f>IFERROR(VLOOKUP(G141,SKU_Cost_Input!$A$2:$E$16,4,FALSE),0)</f>
        <v/>
      </c>
      <c r="J141" s="14">
        <f>IFERROR(VLOOKUP(G141,SKU_Cost_Input!$A$2:$E$16,2,FALSE),0)</f>
        <v/>
      </c>
      <c r="K141" s="18">
        <f>IF(J141=0,0,I141/J141)</f>
        <v/>
      </c>
      <c r="L141" s="18">
        <f>K141</f>
        <v/>
      </c>
      <c r="M141" s="14" t="inlineStr">
        <is>
          <t>Exact company email match</t>
        </is>
      </c>
      <c r="N141" s="14" t="inlineStr"/>
    </row>
    <row r="142">
      <c r="A142" s="14" t="inlineStr">
        <is>
          <t>Freddy-Ben@WearCheckRS.com</t>
        </is>
      </c>
      <c r="B142" s="14" t="inlineStr">
        <is>
          <t>Freddy-Ben Gariseb</t>
        </is>
      </c>
      <c r="C142" s="14" t="inlineStr">
        <is>
          <t>Namibia</t>
        </is>
      </c>
      <c r="D142" s="14" t="inlineStr">
        <is>
          <t>WCN004</t>
        </is>
      </c>
      <c r="E142" s="14" t="inlineStr">
        <is>
          <t>Matched</t>
        </is>
      </c>
      <c r="F142" s="14" t="inlineStr">
        <is>
          <t>No</t>
        </is>
      </c>
      <c r="G142" s="14" t="inlineStr">
        <is>
          <t>Microsoft 365 Business Standard</t>
        </is>
      </c>
      <c r="H142" s="14" t="inlineStr">
        <is>
          <t>Likely billable</t>
        </is>
      </c>
      <c r="I142" s="18">
        <f>IFERROR(VLOOKUP(G142,SKU_Cost_Input!$A$2:$E$16,4,FALSE),0)</f>
        <v/>
      </c>
      <c r="J142" s="14">
        <f>IFERROR(VLOOKUP(G142,SKU_Cost_Input!$A$2:$E$16,2,FALSE),0)</f>
        <v/>
      </c>
      <c r="K142" s="18">
        <f>IF(J142=0,0,I142/J142)</f>
        <v/>
      </c>
      <c r="L142" s="18">
        <f>K142</f>
        <v/>
      </c>
      <c r="M142" s="14" t="inlineStr">
        <is>
          <t>Exact company email match</t>
        </is>
      </c>
      <c r="N142" s="14" t="inlineStr">
        <is>
          <t>Review: Business Standard — consider Business Basic if sufficient</t>
        </is>
      </c>
    </row>
    <row r="143">
      <c r="A143" s="14" t="inlineStr">
        <is>
          <t>Gabriel@WearCheckRS.com</t>
        </is>
      </c>
      <c r="B143" s="14" t="inlineStr">
        <is>
          <t>Gabriel</t>
        </is>
      </c>
      <c r="C143" s="14" t="inlineStr">
        <is>
          <t>Namibia</t>
        </is>
      </c>
      <c r="D143" s="14" t="inlineStr">
        <is>
          <t>WCN007</t>
        </is>
      </c>
      <c r="E143" s="14" t="inlineStr">
        <is>
          <t>Matched</t>
        </is>
      </c>
      <c r="F143" s="14" t="inlineStr">
        <is>
          <t>No</t>
        </is>
      </c>
      <c r="G143" s="14" t="inlineStr">
        <is>
          <t>Microsoft Defender for Office 365 (Plan 2)</t>
        </is>
      </c>
      <c r="H143" s="14" t="inlineStr">
        <is>
          <t>Likely billable</t>
        </is>
      </c>
      <c r="I143" s="18">
        <f>IFERROR(VLOOKUP(G143,SKU_Cost_Input!$A$2:$E$16,4,FALSE),0)</f>
        <v/>
      </c>
      <c r="J143" s="14">
        <f>IFERROR(VLOOKUP(G143,SKU_Cost_Input!$A$2:$E$16,2,FALSE),0)</f>
        <v/>
      </c>
      <c r="K143" s="18">
        <f>IF(J143=0,0,I143/J143)</f>
        <v/>
      </c>
      <c r="L143" s="18">
        <f>K143</f>
        <v/>
      </c>
      <c r="M143" s="14" t="inlineStr">
        <is>
          <t>Exact company email match</t>
        </is>
      </c>
      <c r="N143" s="14" t="inlineStr"/>
    </row>
    <row r="144">
      <c r="A144" s="14" t="inlineStr">
        <is>
          <t>Gabriel@WearCheckRS.com</t>
        </is>
      </c>
      <c r="B144" s="14" t="inlineStr">
        <is>
          <t>Gabriel</t>
        </is>
      </c>
      <c r="C144" s="14" t="inlineStr">
        <is>
          <t>Namibia</t>
        </is>
      </c>
      <c r="D144" s="14" t="inlineStr">
        <is>
          <t>WCN007</t>
        </is>
      </c>
      <c r="E144" s="14" t="inlineStr">
        <is>
          <t>Matched</t>
        </is>
      </c>
      <c r="F144" s="14" t="inlineStr">
        <is>
          <t>No</t>
        </is>
      </c>
      <c r="G144" s="14" t="inlineStr">
        <is>
          <t>Microsoft Fabric (Free)</t>
        </is>
      </c>
      <c r="H144" s="14" t="inlineStr">
        <is>
          <t>Likely free / trial</t>
        </is>
      </c>
      <c r="I144" s="18">
        <f>IFERROR(VLOOKUP(G144,SKU_Cost_Input!$A$2:$E$16,4,FALSE),0)</f>
        <v/>
      </c>
      <c r="J144" s="14">
        <f>IFERROR(VLOOKUP(G144,SKU_Cost_Input!$A$2:$E$16,2,FALSE),0)</f>
        <v/>
      </c>
      <c r="K144" s="18">
        <f>IF(J144=0,0,I144/J144)</f>
        <v/>
      </c>
      <c r="L144" s="18">
        <f>K144</f>
        <v/>
      </c>
      <c r="M144" s="14" t="inlineStr">
        <is>
          <t>Exact company email match</t>
        </is>
      </c>
      <c r="N144" s="14" t="inlineStr"/>
    </row>
    <row r="145">
      <c r="A145" s="14" t="inlineStr">
        <is>
          <t>Gabriel@WearCheckRS.com</t>
        </is>
      </c>
      <c r="B145" s="14" t="inlineStr">
        <is>
          <t>Gabriel</t>
        </is>
      </c>
      <c r="C145" s="14" t="inlineStr">
        <is>
          <t>Namibia</t>
        </is>
      </c>
      <c r="D145" s="14" t="inlineStr">
        <is>
          <t>WCN007</t>
        </is>
      </c>
      <c r="E145" s="14" t="inlineStr">
        <is>
          <t>Matched</t>
        </is>
      </c>
      <c r="F145" s="14" t="inlineStr">
        <is>
          <t>No</t>
        </is>
      </c>
      <c r="G145" s="14" t="inlineStr">
        <is>
          <t>Microsoft 365 Business Standard</t>
        </is>
      </c>
      <c r="H145" s="14" t="inlineStr">
        <is>
          <t>Likely billable</t>
        </is>
      </c>
      <c r="I145" s="18">
        <f>IFERROR(VLOOKUP(G145,SKU_Cost_Input!$A$2:$E$16,4,FALSE),0)</f>
        <v/>
      </c>
      <c r="J145" s="14">
        <f>IFERROR(VLOOKUP(G145,SKU_Cost_Input!$A$2:$E$16,2,FALSE),0)</f>
        <v/>
      </c>
      <c r="K145" s="18">
        <f>IF(J145=0,0,I145/J145)</f>
        <v/>
      </c>
      <c r="L145" s="18">
        <f>K145</f>
        <v/>
      </c>
      <c r="M145" s="14" t="inlineStr">
        <is>
          <t>Exact company email match</t>
        </is>
      </c>
      <c r="N145" s="14" t="inlineStr">
        <is>
          <t>Review: Business Standard — consider Business Basic if sufficient</t>
        </is>
      </c>
    </row>
    <row r="146">
      <c r="A146" s="14" t="inlineStr">
        <is>
          <t>GladwinS@WearCheckRS.com</t>
        </is>
      </c>
      <c r="B146" s="14" t="inlineStr">
        <is>
          <t>Gladwin Sekharume</t>
        </is>
      </c>
      <c r="C146" s="14" t="inlineStr">
        <is>
          <t>RS</t>
        </is>
      </c>
      <c r="D146" s="14" t="inlineStr"/>
      <c r="E146" s="14" t="inlineStr">
        <is>
          <t>Ex-Employee</t>
        </is>
      </c>
      <c r="F146" s="14" t="inlineStr">
        <is>
          <t>No</t>
        </is>
      </c>
      <c r="G146" s="14" t="inlineStr">
        <is>
          <t>Microsoft Defender for Office 365 (Plan 2)</t>
        </is>
      </c>
      <c r="H146" s="14" t="inlineStr">
        <is>
          <t>Likely billable</t>
        </is>
      </c>
      <c r="I146" s="18">
        <f>IFERROR(VLOOKUP(G146,SKU_Cost_Input!$A$2:$E$16,4,FALSE),0)</f>
        <v/>
      </c>
      <c r="J146" s="14">
        <f>IFERROR(VLOOKUP(G146,SKU_Cost_Input!$A$2:$E$16,2,FALSE),0)</f>
        <v/>
      </c>
      <c r="K146" s="18">
        <f>IF(J146=0,0,I146/J146)</f>
        <v/>
      </c>
      <c r="L146" s="18">
        <f>K146</f>
        <v/>
      </c>
      <c r="M146" s="14" t="inlineStr">
        <is>
          <t>No longer an employee. FLAG: Remove licence.</t>
        </is>
      </c>
      <c r="N146" s="14" t="inlineStr"/>
    </row>
    <row r="147">
      <c r="A147" s="14" t="inlineStr">
        <is>
          <t>GladwinS@WearCheckRS.com</t>
        </is>
      </c>
      <c r="B147" s="14" t="inlineStr">
        <is>
          <t>Gladwin Sekharume</t>
        </is>
      </c>
      <c r="C147" s="14" t="inlineStr">
        <is>
          <t>RS</t>
        </is>
      </c>
      <c r="D147" s="14" t="inlineStr"/>
      <c r="E147" s="14" t="inlineStr">
        <is>
          <t>Ex-Employee</t>
        </is>
      </c>
      <c r="F147" s="14" t="inlineStr">
        <is>
          <t>No</t>
        </is>
      </c>
      <c r="G147" s="14" t="inlineStr">
        <is>
          <t>Microsoft 365 Business Standard</t>
        </is>
      </c>
      <c r="H147" s="14" t="inlineStr">
        <is>
          <t>Likely billable</t>
        </is>
      </c>
      <c r="I147" s="18">
        <f>IFERROR(VLOOKUP(G147,SKU_Cost_Input!$A$2:$E$16,4,FALSE),0)</f>
        <v/>
      </c>
      <c r="J147" s="14">
        <f>IFERROR(VLOOKUP(G147,SKU_Cost_Input!$A$2:$E$16,2,FALSE),0)</f>
        <v/>
      </c>
      <c r="K147" s="18">
        <f>IF(J147=0,0,I147/J147)</f>
        <v/>
      </c>
      <c r="L147" s="18">
        <f>K147</f>
        <v/>
      </c>
      <c r="M147" s="14" t="inlineStr">
        <is>
          <t>No longer an employee. FLAG: Remove licence.</t>
        </is>
      </c>
      <c r="N147" s="14" t="inlineStr">
        <is>
          <t>Review: Business Standard — consider Business Basic if sufficient</t>
        </is>
      </c>
    </row>
    <row r="148">
      <c r="A148" s="14" t="inlineStr">
        <is>
          <t>Godfrey@WearCheckRS.com</t>
        </is>
      </c>
      <c r="B148" s="14" t="inlineStr">
        <is>
          <t>Godfrey Boikhutso</t>
        </is>
      </c>
      <c r="C148" s="14" t="inlineStr">
        <is>
          <t>AFS</t>
        </is>
      </c>
      <c r="D148" s="14" t="inlineStr">
        <is>
          <t>WC510</t>
        </is>
      </c>
      <c r="E148" s="14" t="inlineStr">
        <is>
          <t>Matched</t>
        </is>
      </c>
      <c r="F148" s="14" t="inlineStr">
        <is>
          <t>No</t>
        </is>
      </c>
      <c r="G148" s="14" t="inlineStr">
        <is>
          <t>Microsoft Defender for Office 365 (Plan 2)</t>
        </is>
      </c>
      <c r="H148" s="14" t="inlineStr">
        <is>
          <t>Likely billable</t>
        </is>
      </c>
      <c r="I148" s="18">
        <f>IFERROR(VLOOKUP(G148,SKU_Cost_Input!$A$2:$E$16,4,FALSE),0)</f>
        <v/>
      </c>
      <c r="J148" s="14">
        <f>IFERROR(VLOOKUP(G148,SKU_Cost_Input!$A$2:$E$16,2,FALSE),0)</f>
        <v/>
      </c>
      <c r="K148" s="18">
        <f>IF(J148=0,0,I148/J148)</f>
        <v/>
      </c>
      <c r="L148" s="18">
        <f>K148</f>
        <v/>
      </c>
      <c r="M148" s="14" t="inlineStr">
        <is>
          <t>Matched via exact name</t>
        </is>
      </c>
      <c r="N148" s="14" t="inlineStr"/>
    </row>
    <row r="149">
      <c r="A149" s="14" t="inlineStr">
        <is>
          <t>Godfrey@WearCheckRS.com</t>
        </is>
      </c>
      <c r="B149" s="14" t="inlineStr">
        <is>
          <t>Godfrey Boikhutso</t>
        </is>
      </c>
      <c r="C149" s="14" t="inlineStr">
        <is>
          <t>AFS</t>
        </is>
      </c>
      <c r="D149" s="14" t="inlineStr">
        <is>
          <t>WC510</t>
        </is>
      </c>
      <c r="E149" s="14" t="inlineStr">
        <is>
          <t>Matched</t>
        </is>
      </c>
      <c r="F149" s="14" t="inlineStr">
        <is>
          <t>No</t>
        </is>
      </c>
      <c r="G149" s="14" t="inlineStr">
        <is>
          <t>Microsoft 365 Business Premium</t>
        </is>
      </c>
      <c r="H149" s="14" t="inlineStr">
        <is>
          <t>Likely billable</t>
        </is>
      </c>
      <c r="I149" s="18">
        <f>IFERROR(VLOOKUP(G149,SKU_Cost_Input!$A$2:$E$16,4,FALSE),0)</f>
        <v/>
      </c>
      <c r="J149" s="14">
        <f>IFERROR(VLOOKUP(G149,SKU_Cost_Input!$A$2:$E$16,2,FALSE),0)</f>
        <v/>
      </c>
      <c r="K149" s="18">
        <f>IF(J149=0,0,I149/J149)</f>
        <v/>
      </c>
      <c r="L149" s="18">
        <f>K149</f>
        <v/>
      </c>
      <c r="M149" s="14" t="inlineStr">
        <is>
          <t>Matched via exact name</t>
        </is>
      </c>
      <c r="N149" s="14" t="inlineStr">
        <is>
          <t>Review: Business Premium — consider Business Basic/Standard</t>
        </is>
      </c>
    </row>
    <row r="150">
      <c r="A150" s="14" t="inlineStr">
        <is>
          <t>gustav@WearCheckRS.com</t>
        </is>
      </c>
      <c r="B150" s="14" t="inlineStr">
        <is>
          <t>Gustav Lourens</t>
        </is>
      </c>
      <c r="C150" s="14" t="inlineStr">
        <is>
          <t>RS</t>
        </is>
      </c>
      <c r="D150" s="14" t="inlineStr">
        <is>
          <t>WC270</t>
        </is>
      </c>
      <c r="E150" s="14" t="inlineStr">
        <is>
          <t>Matched</t>
        </is>
      </c>
      <c r="F150" s="14" t="inlineStr">
        <is>
          <t>No</t>
        </is>
      </c>
      <c r="G150" s="14" t="inlineStr">
        <is>
          <t>Microsoft Defender for Office 365 (Plan 2)</t>
        </is>
      </c>
      <c r="H150" s="14" t="inlineStr">
        <is>
          <t>Likely billable</t>
        </is>
      </c>
      <c r="I150" s="18">
        <f>IFERROR(VLOOKUP(G150,SKU_Cost_Input!$A$2:$E$16,4,FALSE),0)</f>
        <v/>
      </c>
      <c r="J150" s="14">
        <f>IFERROR(VLOOKUP(G150,SKU_Cost_Input!$A$2:$E$16,2,FALSE),0)</f>
        <v/>
      </c>
      <c r="K150" s="18">
        <f>IF(J150=0,0,I150/J150)</f>
        <v/>
      </c>
      <c r="L150" s="18">
        <f>K150</f>
        <v/>
      </c>
      <c r="M150" s="14" t="inlineStr">
        <is>
          <t>Exact company email match</t>
        </is>
      </c>
      <c r="N150" s="14" t="inlineStr"/>
    </row>
    <row r="151">
      <c r="A151" s="14" t="inlineStr">
        <is>
          <t>gustav@WearCheckRS.com</t>
        </is>
      </c>
      <c r="B151" s="14" t="inlineStr">
        <is>
          <t>Gustav Lourens</t>
        </is>
      </c>
      <c r="C151" s="14" t="inlineStr">
        <is>
          <t>RS</t>
        </is>
      </c>
      <c r="D151" s="14" t="inlineStr">
        <is>
          <t>WC270</t>
        </is>
      </c>
      <c r="E151" s="14" t="inlineStr">
        <is>
          <t>Matched</t>
        </is>
      </c>
      <c r="F151" s="14" t="inlineStr">
        <is>
          <t>No</t>
        </is>
      </c>
      <c r="G151" s="14" t="inlineStr">
        <is>
          <t>Microsoft 365 Business Standard</t>
        </is>
      </c>
      <c r="H151" s="14" t="inlineStr">
        <is>
          <t>Likely billable</t>
        </is>
      </c>
      <c r="I151" s="18">
        <f>IFERROR(VLOOKUP(G151,SKU_Cost_Input!$A$2:$E$16,4,FALSE),0)</f>
        <v/>
      </c>
      <c r="J151" s="14">
        <f>IFERROR(VLOOKUP(G151,SKU_Cost_Input!$A$2:$E$16,2,FALSE),0)</f>
        <v/>
      </c>
      <c r="K151" s="18">
        <f>IF(J151=0,0,I151/J151)</f>
        <v/>
      </c>
      <c r="L151" s="18">
        <f>K151</f>
        <v/>
      </c>
      <c r="M151" s="14" t="inlineStr">
        <is>
          <t>Exact company email match</t>
        </is>
      </c>
      <c r="N151" s="14" t="inlineStr">
        <is>
          <t>Review: Business Standard — consider Business Basic if sufficient</t>
        </is>
      </c>
    </row>
    <row r="152">
      <c r="A152" s="14" t="inlineStr">
        <is>
          <t>hannest@WearCheckRS.com</t>
        </is>
      </c>
      <c r="B152" s="14" t="inlineStr">
        <is>
          <t>Hannest Koegelenberg</t>
        </is>
      </c>
      <c r="C152" s="14" t="inlineStr">
        <is>
          <t>RS</t>
        </is>
      </c>
      <c r="D152" s="14" t="inlineStr">
        <is>
          <t>WEC047</t>
        </is>
      </c>
      <c r="E152" s="14" t="inlineStr">
        <is>
          <t>Matched</t>
        </is>
      </c>
      <c r="F152" s="14" t="inlineStr">
        <is>
          <t>No</t>
        </is>
      </c>
      <c r="G152" s="14" t="inlineStr">
        <is>
          <t>Microsoft Defender for Office 365 (Plan 2)</t>
        </is>
      </c>
      <c r="H152" s="14" t="inlineStr">
        <is>
          <t>Likely billable</t>
        </is>
      </c>
      <c r="I152" s="18">
        <f>IFERROR(VLOOKUP(G152,SKU_Cost_Input!$A$2:$E$16,4,FALSE),0)</f>
        <v/>
      </c>
      <c r="J152" s="14">
        <f>IFERROR(VLOOKUP(G152,SKU_Cost_Input!$A$2:$E$16,2,FALSE),0)</f>
        <v/>
      </c>
      <c r="K152" s="18">
        <f>IF(J152=0,0,I152/J152)</f>
        <v/>
      </c>
      <c r="L152" s="18">
        <f>K152</f>
        <v/>
      </c>
      <c r="M152" s="14" t="inlineStr">
        <is>
          <t>Exact company email match</t>
        </is>
      </c>
      <c r="N152" s="14" t="inlineStr"/>
    </row>
    <row r="153">
      <c r="A153" s="14" t="inlineStr">
        <is>
          <t>hannest@WearCheckRS.com</t>
        </is>
      </c>
      <c r="B153" s="14" t="inlineStr">
        <is>
          <t>Hannest Koegelenberg</t>
        </is>
      </c>
      <c r="C153" s="14" t="inlineStr">
        <is>
          <t>RS</t>
        </is>
      </c>
      <c r="D153" s="14" t="inlineStr">
        <is>
          <t>WEC047</t>
        </is>
      </c>
      <c r="E153" s="14" t="inlineStr">
        <is>
          <t>Matched</t>
        </is>
      </c>
      <c r="F153" s="14" t="inlineStr">
        <is>
          <t>No</t>
        </is>
      </c>
      <c r="G153" s="14" t="inlineStr">
        <is>
          <t>Microsoft 365 Business Standard</t>
        </is>
      </c>
      <c r="H153" s="14" t="inlineStr">
        <is>
          <t>Likely billable</t>
        </is>
      </c>
      <c r="I153" s="18">
        <f>IFERROR(VLOOKUP(G153,SKU_Cost_Input!$A$2:$E$16,4,FALSE),0)</f>
        <v/>
      </c>
      <c r="J153" s="14">
        <f>IFERROR(VLOOKUP(G153,SKU_Cost_Input!$A$2:$E$16,2,FALSE),0)</f>
        <v/>
      </c>
      <c r="K153" s="18">
        <f>IF(J153=0,0,I153/J153)</f>
        <v/>
      </c>
      <c r="L153" s="18">
        <f>K153</f>
        <v/>
      </c>
      <c r="M153" s="14" t="inlineStr">
        <is>
          <t>Exact company email match</t>
        </is>
      </c>
      <c r="N153" s="14" t="inlineStr">
        <is>
          <t>Review: Business Standard — consider Business Basic if sufficient</t>
        </is>
      </c>
    </row>
    <row r="154">
      <c r="A154" s="14" t="inlineStr">
        <is>
          <t>heinc@WearCheckRS.com</t>
        </is>
      </c>
      <c r="B154" s="14" t="inlineStr">
        <is>
          <t>Hein Coetzer</t>
        </is>
      </c>
      <c r="C154" s="14" t="inlineStr">
        <is>
          <t>RS</t>
        </is>
      </c>
      <c r="D154" s="14" t="inlineStr">
        <is>
          <t>WEC129</t>
        </is>
      </c>
      <c r="E154" s="14" t="inlineStr">
        <is>
          <t>Matched</t>
        </is>
      </c>
      <c r="F154" s="14" t="inlineStr">
        <is>
          <t>No</t>
        </is>
      </c>
      <c r="G154" s="14" t="inlineStr">
        <is>
          <t>Microsoft Defender for Office 365 (Plan 2)</t>
        </is>
      </c>
      <c r="H154" s="14" t="inlineStr">
        <is>
          <t>Likely billable</t>
        </is>
      </c>
      <c r="I154" s="18">
        <f>IFERROR(VLOOKUP(G154,SKU_Cost_Input!$A$2:$E$16,4,FALSE),0)</f>
        <v/>
      </c>
      <c r="J154" s="14">
        <f>IFERROR(VLOOKUP(G154,SKU_Cost_Input!$A$2:$E$16,2,FALSE),0)</f>
        <v/>
      </c>
      <c r="K154" s="18">
        <f>IF(J154=0,0,I154/J154)</f>
        <v/>
      </c>
      <c r="L154" s="18">
        <f>K154</f>
        <v/>
      </c>
      <c r="M154" s="14" t="inlineStr">
        <is>
          <t>Exact company email match</t>
        </is>
      </c>
      <c r="N154" s="14" t="inlineStr"/>
    </row>
    <row r="155">
      <c r="A155" s="14" t="inlineStr">
        <is>
          <t>heinc@WearCheckRS.com</t>
        </is>
      </c>
      <c r="B155" s="14" t="inlineStr">
        <is>
          <t>Hein Coetzer</t>
        </is>
      </c>
      <c r="C155" s="14" t="inlineStr">
        <is>
          <t>RS</t>
        </is>
      </c>
      <c r="D155" s="14" t="inlineStr">
        <is>
          <t>WEC129</t>
        </is>
      </c>
      <c r="E155" s="14" t="inlineStr">
        <is>
          <t>Matched</t>
        </is>
      </c>
      <c r="F155" s="14" t="inlineStr">
        <is>
          <t>No</t>
        </is>
      </c>
      <c r="G155" s="14" t="inlineStr">
        <is>
          <t>Microsoft 365 Business Standard</t>
        </is>
      </c>
      <c r="H155" s="14" t="inlineStr">
        <is>
          <t>Likely billable</t>
        </is>
      </c>
      <c r="I155" s="18">
        <f>IFERROR(VLOOKUP(G155,SKU_Cost_Input!$A$2:$E$16,4,FALSE),0)</f>
        <v/>
      </c>
      <c r="J155" s="14">
        <f>IFERROR(VLOOKUP(G155,SKU_Cost_Input!$A$2:$E$16,2,FALSE),0)</f>
        <v/>
      </c>
      <c r="K155" s="18">
        <f>IF(J155=0,0,I155/J155)</f>
        <v/>
      </c>
      <c r="L155" s="18">
        <f>K155</f>
        <v/>
      </c>
      <c r="M155" s="14" t="inlineStr">
        <is>
          <t>Exact company email match</t>
        </is>
      </c>
      <c r="N155" s="14" t="inlineStr">
        <is>
          <t>Review: Business Standard — consider Business Basic if sufficient</t>
        </is>
      </c>
    </row>
    <row r="156">
      <c r="A156" s="14" t="inlineStr">
        <is>
          <t>Heinrich@WearCheckRS.com</t>
        </is>
      </c>
      <c r="B156" s="14" t="inlineStr">
        <is>
          <t>Heinrich Kusel</t>
        </is>
      </c>
      <c r="C156" s="14" t="inlineStr">
        <is>
          <t>RS</t>
        </is>
      </c>
      <c r="D156" s="14" t="inlineStr">
        <is>
          <t>WEC134</t>
        </is>
      </c>
      <c r="E156" s="14" t="inlineStr">
        <is>
          <t>Matched</t>
        </is>
      </c>
      <c r="F156" s="14" t="inlineStr">
        <is>
          <t>No</t>
        </is>
      </c>
      <c r="G156" s="14" t="inlineStr">
        <is>
          <t>Microsoft Defender for Office 365 (Plan 2)</t>
        </is>
      </c>
      <c r="H156" s="14" t="inlineStr">
        <is>
          <t>Likely billable</t>
        </is>
      </c>
      <c r="I156" s="18">
        <f>IFERROR(VLOOKUP(G156,SKU_Cost_Input!$A$2:$E$16,4,FALSE),0)</f>
        <v/>
      </c>
      <c r="J156" s="14">
        <f>IFERROR(VLOOKUP(G156,SKU_Cost_Input!$A$2:$E$16,2,FALSE),0)</f>
        <v/>
      </c>
      <c r="K156" s="18">
        <f>IF(J156=0,0,I156/J156)</f>
        <v/>
      </c>
      <c r="L156" s="18">
        <f>K156</f>
        <v/>
      </c>
      <c r="M156" s="14" t="inlineStr">
        <is>
          <t>Exact company email match</t>
        </is>
      </c>
      <c r="N156" s="14" t="inlineStr"/>
    </row>
    <row r="157">
      <c r="A157" s="14" t="inlineStr">
        <is>
          <t>Heinrich@WearCheckRS.com</t>
        </is>
      </c>
      <c r="B157" s="14" t="inlineStr">
        <is>
          <t>Heinrich Kusel</t>
        </is>
      </c>
      <c r="C157" s="14" t="inlineStr">
        <is>
          <t>RS</t>
        </is>
      </c>
      <c r="D157" s="14" t="inlineStr">
        <is>
          <t>WEC134</t>
        </is>
      </c>
      <c r="E157" s="14" t="inlineStr">
        <is>
          <t>Matched</t>
        </is>
      </c>
      <c r="F157" s="14" t="inlineStr">
        <is>
          <t>No</t>
        </is>
      </c>
      <c r="G157" s="14" t="inlineStr">
        <is>
          <t>Microsoft 365 Business Standard</t>
        </is>
      </c>
      <c r="H157" s="14" t="inlineStr">
        <is>
          <t>Likely billable</t>
        </is>
      </c>
      <c r="I157" s="18">
        <f>IFERROR(VLOOKUP(G157,SKU_Cost_Input!$A$2:$E$16,4,FALSE),0)</f>
        <v/>
      </c>
      <c r="J157" s="14">
        <f>IFERROR(VLOOKUP(G157,SKU_Cost_Input!$A$2:$E$16,2,FALSE),0)</f>
        <v/>
      </c>
      <c r="K157" s="18">
        <f>IF(J157=0,0,I157/J157)</f>
        <v/>
      </c>
      <c r="L157" s="18">
        <f>K157</f>
        <v/>
      </c>
      <c r="M157" s="14" t="inlineStr">
        <is>
          <t>Exact company email match</t>
        </is>
      </c>
      <c r="N157" s="14" t="inlineStr">
        <is>
          <t>Review: Business Standard — consider Business Basic if sufficient</t>
        </is>
      </c>
    </row>
    <row r="158">
      <c r="A158" s="14" t="inlineStr">
        <is>
          <t>Henry@WearCheckRS.com</t>
        </is>
      </c>
      <c r="B158" s="14" t="inlineStr">
        <is>
          <t>Henry Mherekumombe</t>
        </is>
      </c>
      <c r="C158" s="14" t="inlineStr">
        <is>
          <t>RS</t>
        </is>
      </c>
      <c r="D158" s="14" t="inlineStr">
        <is>
          <t>WEC098</t>
        </is>
      </c>
      <c r="E158" s="14" t="inlineStr">
        <is>
          <t>Matched</t>
        </is>
      </c>
      <c r="F158" s="14" t="inlineStr">
        <is>
          <t>No</t>
        </is>
      </c>
      <c r="G158" s="14" t="inlineStr">
        <is>
          <t>Microsoft Defender for Office 365 (Plan 2)</t>
        </is>
      </c>
      <c r="H158" s="14" t="inlineStr">
        <is>
          <t>Likely billable</t>
        </is>
      </c>
      <c r="I158" s="18">
        <f>IFERROR(VLOOKUP(G158,SKU_Cost_Input!$A$2:$E$16,4,FALSE),0)</f>
        <v/>
      </c>
      <c r="J158" s="14">
        <f>IFERROR(VLOOKUP(G158,SKU_Cost_Input!$A$2:$E$16,2,FALSE),0)</f>
        <v/>
      </c>
      <c r="K158" s="18">
        <f>IF(J158=0,0,I158/J158)</f>
        <v/>
      </c>
      <c r="L158" s="18">
        <f>K158</f>
        <v/>
      </c>
      <c r="M158" s="14" t="inlineStr">
        <is>
          <t>Exact company email match</t>
        </is>
      </c>
      <c r="N158" s="14" t="inlineStr"/>
    </row>
    <row r="159">
      <c r="A159" s="14" t="inlineStr">
        <is>
          <t>Henry@WearCheckRS.com</t>
        </is>
      </c>
      <c r="B159" s="14" t="inlineStr">
        <is>
          <t>Henry Mherekumombe</t>
        </is>
      </c>
      <c r="C159" s="14" t="inlineStr">
        <is>
          <t>RS</t>
        </is>
      </c>
      <c r="D159" s="14" t="inlineStr">
        <is>
          <t>WEC098</t>
        </is>
      </c>
      <c r="E159" s="14" t="inlineStr">
        <is>
          <t>Matched</t>
        </is>
      </c>
      <c r="F159" s="14" t="inlineStr">
        <is>
          <t>No</t>
        </is>
      </c>
      <c r="G159" s="14" t="inlineStr">
        <is>
          <t>Microsoft Power Automate Free</t>
        </is>
      </c>
      <c r="H159" s="14" t="inlineStr">
        <is>
          <t>Likely free / trial</t>
        </is>
      </c>
      <c r="I159" s="18">
        <f>IFERROR(VLOOKUP(G159,SKU_Cost_Input!$A$2:$E$16,4,FALSE),0)</f>
        <v/>
      </c>
      <c r="J159" s="14">
        <f>IFERROR(VLOOKUP(G159,SKU_Cost_Input!$A$2:$E$16,2,FALSE),0)</f>
        <v/>
      </c>
      <c r="K159" s="18">
        <f>IF(J159=0,0,I159/J159)</f>
        <v/>
      </c>
      <c r="L159" s="18">
        <f>K159</f>
        <v/>
      </c>
      <c r="M159" s="14" t="inlineStr">
        <is>
          <t>Exact company email match</t>
        </is>
      </c>
      <c r="N159" s="14" t="inlineStr"/>
    </row>
    <row r="160">
      <c r="A160" s="14" t="inlineStr">
        <is>
          <t>Henry@WearCheckRS.com</t>
        </is>
      </c>
      <c r="B160" s="14" t="inlineStr">
        <is>
          <t>Henry Mherekumombe</t>
        </is>
      </c>
      <c r="C160" s="14" t="inlineStr">
        <is>
          <t>RS</t>
        </is>
      </c>
      <c r="D160" s="14" t="inlineStr">
        <is>
          <t>WEC098</t>
        </is>
      </c>
      <c r="E160" s="14" t="inlineStr">
        <is>
          <t>Matched</t>
        </is>
      </c>
      <c r="F160" s="14" t="inlineStr">
        <is>
          <t>No</t>
        </is>
      </c>
      <c r="G160" s="14" t="inlineStr">
        <is>
          <t>Microsoft 365 Business Standard</t>
        </is>
      </c>
      <c r="H160" s="14" t="inlineStr">
        <is>
          <t>Likely billable</t>
        </is>
      </c>
      <c r="I160" s="18">
        <f>IFERROR(VLOOKUP(G160,SKU_Cost_Input!$A$2:$E$16,4,FALSE),0)</f>
        <v/>
      </c>
      <c r="J160" s="14">
        <f>IFERROR(VLOOKUP(G160,SKU_Cost_Input!$A$2:$E$16,2,FALSE),0)</f>
        <v/>
      </c>
      <c r="K160" s="18">
        <f>IF(J160=0,0,I160/J160)</f>
        <v/>
      </c>
      <c r="L160" s="18">
        <f>K160</f>
        <v/>
      </c>
      <c r="M160" s="14" t="inlineStr">
        <is>
          <t>Exact company email match</t>
        </is>
      </c>
      <c r="N160" s="14" t="inlineStr">
        <is>
          <t>Review: Business Standard — consider Business Basic if sufficient</t>
        </is>
      </c>
    </row>
    <row r="161">
      <c r="A161" s="14" t="inlineStr">
        <is>
          <t>Isac@WearCheckRS.com</t>
        </is>
      </c>
      <c r="B161" s="14" t="inlineStr">
        <is>
          <t>Isac Zacarias</t>
        </is>
      </c>
      <c r="C161" s="14" t="inlineStr">
        <is>
          <t>Mozambique</t>
        </is>
      </c>
      <c r="D161" s="14" t="inlineStr">
        <is>
          <t>Unknown</t>
        </is>
      </c>
      <c r="E161" s="14" t="inlineStr">
        <is>
          <t>Matched</t>
        </is>
      </c>
      <c r="F161" s="14" t="inlineStr">
        <is>
          <t>No</t>
        </is>
      </c>
      <c r="G161" s="14" t="inlineStr">
        <is>
          <t>Microsoft Defender for Office 365 (Plan 2)</t>
        </is>
      </c>
      <c r="H161" s="14" t="inlineStr">
        <is>
          <t>Likely billable</t>
        </is>
      </c>
      <c r="I161" s="18">
        <f>IFERROR(VLOOKUP(G161,SKU_Cost_Input!$A$2:$E$16,4,FALSE),0)</f>
        <v/>
      </c>
      <c r="J161" s="14">
        <f>IFERROR(VLOOKUP(G161,SKU_Cost_Input!$A$2:$E$16,2,FALSE),0)</f>
        <v/>
      </c>
      <c r="K161" s="18">
        <f>IF(J161=0,0,I161/J161)</f>
        <v/>
      </c>
      <c r="L161" s="18">
        <f>K161</f>
        <v/>
      </c>
      <c r="M161" s="14" t="inlineStr">
        <is>
          <t>Exact company email match</t>
        </is>
      </c>
      <c r="N161" s="14" t="inlineStr"/>
    </row>
    <row r="162">
      <c r="A162" s="14" t="inlineStr">
        <is>
          <t>Isac@WearCheckRS.com</t>
        </is>
      </c>
      <c r="B162" s="14" t="inlineStr">
        <is>
          <t>Isac Zacarias</t>
        </is>
      </c>
      <c r="C162" s="14" t="inlineStr">
        <is>
          <t>Mozambique</t>
        </is>
      </c>
      <c r="D162" s="14" t="inlineStr">
        <is>
          <t>Unknown</t>
        </is>
      </c>
      <c r="E162" s="14" t="inlineStr">
        <is>
          <t>Matched</t>
        </is>
      </c>
      <c r="F162" s="14" t="inlineStr">
        <is>
          <t>No</t>
        </is>
      </c>
      <c r="G162" s="14" t="inlineStr">
        <is>
          <t>Microsoft Fabric (Free)</t>
        </is>
      </c>
      <c r="H162" s="14" t="inlineStr">
        <is>
          <t>Likely free / trial</t>
        </is>
      </c>
      <c r="I162" s="18">
        <f>IFERROR(VLOOKUP(G162,SKU_Cost_Input!$A$2:$E$16,4,FALSE),0)</f>
        <v/>
      </c>
      <c r="J162" s="14">
        <f>IFERROR(VLOOKUP(G162,SKU_Cost_Input!$A$2:$E$16,2,FALSE),0)</f>
        <v/>
      </c>
      <c r="K162" s="18">
        <f>IF(J162=0,0,I162/J162)</f>
        <v/>
      </c>
      <c r="L162" s="18">
        <f>K162</f>
        <v/>
      </c>
      <c r="M162" s="14" t="inlineStr">
        <is>
          <t>Exact company email match</t>
        </is>
      </c>
      <c r="N162" s="14" t="inlineStr"/>
    </row>
    <row r="163">
      <c r="A163" s="14" t="inlineStr">
        <is>
          <t>Isac@WearCheckRS.com</t>
        </is>
      </c>
      <c r="B163" s="14" t="inlineStr">
        <is>
          <t>Isac Zacarias</t>
        </is>
      </c>
      <c r="C163" s="14" t="inlineStr">
        <is>
          <t>Mozambique</t>
        </is>
      </c>
      <c r="D163" s="14" t="inlineStr">
        <is>
          <t>Unknown</t>
        </is>
      </c>
      <c r="E163" s="14" t="inlineStr">
        <is>
          <t>Matched</t>
        </is>
      </c>
      <c r="F163" s="14" t="inlineStr">
        <is>
          <t>No</t>
        </is>
      </c>
      <c r="G163" s="14" t="inlineStr">
        <is>
          <t>Microsoft 365 Business Standard</t>
        </is>
      </c>
      <c r="H163" s="14" t="inlineStr">
        <is>
          <t>Likely billable</t>
        </is>
      </c>
      <c r="I163" s="18">
        <f>IFERROR(VLOOKUP(G163,SKU_Cost_Input!$A$2:$E$16,4,FALSE),0)</f>
        <v/>
      </c>
      <c r="J163" s="14">
        <f>IFERROR(VLOOKUP(G163,SKU_Cost_Input!$A$2:$E$16,2,FALSE),0)</f>
        <v/>
      </c>
      <c r="K163" s="18">
        <f>IF(J163=0,0,I163/J163)</f>
        <v/>
      </c>
      <c r="L163" s="18">
        <f>K163</f>
        <v/>
      </c>
      <c r="M163" s="14" t="inlineStr">
        <is>
          <t>Exact company email match</t>
        </is>
      </c>
      <c r="N163" s="14" t="inlineStr">
        <is>
          <t>Review: Business Standard — consider Business Basic if sufficient</t>
        </is>
      </c>
    </row>
    <row r="164">
      <c r="A164" s="14" t="inlineStr">
        <is>
          <t>Ivan@WearCheckRS.com</t>
        </is>
      </c>
      <c r="B164" s="14" t="inlineStr">
        <is>
          <t>Ivan Langa</t>
        </is>
      </c>
      <c r="C164" s="14" t="inlineStr">
        <is>
          <t>RS</t>
        </is>
      </c>
      <c r="D164" s="14" t="inlineStr"/>
      <c r="E164" s="14" t="inlineStr">
        <is>
          <t>Ex-Employee</t>
        </is>
      </c>
      <c r="F164" s="14" t="inlineStr">
        <is>
          <t>No</t>
        </is>
      </c>
      <c r="G164" s="14" t="inlineStr">
        <is>
          <t>Microsoft Defender for Office 365 (Plan 2)</t>
        </is>
      </c>
      <c r="H164" s="14" t="inlineStr">
        <is>
          <t>Likely billable</t>
        </is>
      </c>
      <c r="I164" s="18">
        <f>IFERROR(VLOOKUP(G164,SKU_Cost_Input!$A$2:$E$16,4,FALSE),0)</f>
        <v/>
      </c>
      <c r="J164" s="14">
        <f>IFERROR(VLOOKUP(G164,SKU_Cost_Input!$A$2:$E$16,2,FALSE),0)</f>
        <v/>
      </c>
      <c r="K164" s="18">
        <f>IF(J164=0,0,I164/J164)</f>
        <v/>
      </c>
      <c r="L164" s="18">
        <f>K164</f>
        <v/>
      </c>
      <c r="M164" s="14" t="inlineStr">
        <is>
          <t>No longer an employee. FLAG: Remove licence.</t>
        </is>
      </c>
      <c r="N164" s="14" t="inlineStr"/>
    </row>
    <row r="165">
      <c r="A165" s="14" t="inlineStr">
        <is>
          <t>Ivan@WearCheckRS.com</t>
        </is>
      </c>
      <c r="B165" s="14" t="inlineStr">
        <is>
          <t>Ivan Langa</t>
        </is>
      </c>
      <c r="C165" s="14" t="inlineStr">
        <is>
          <t>RS</t>
        </is>
      </c>
      <c r="D165" s="14" t="inlineStr"/>
      <c r="E165" s="14" t="inlineStr">
        <is>
          <t>Ex-Employee</t>
        </is>
      </c>
      <c r="F165" s="14" t="inlineStr">
        <is>
          <t>No</t>
        </is>
      </c>
      <c r="G165" s="14" t="inlineStr">
        <is>
          <t>Microsoft Fabric (Free)</t>
        </is>
      </c>
      <c r="H165" s="14" t="inlineStr">
        <is>
          <t>Likely free / trial</t>
        </is>
      </c>
      <c r="I165" s="18">
        <f>IFERROR(VLOOKUP(G165,SKU_Cost_Input!$A$2:$E$16,4,FALSE),0)</f>
        <v/>
      </c>
      <c r="J165" s="14">
        <f>IFERROR(VLOOKUP(G165,SKU_Cost_Input!$A$2:$E$16,2,FALSE),0)</f>
        <v/>
      </c>
      <c r="K165" s="18">
        <f>IF(J165=0,0,I165/J165)</f>
        <v/>
      </c>
      <c r="L165" s="18">
        <f>K165</f>
        <v/>
      </c>
      <c r="M165" s="14" t="inlineStr">
        <is>
          <t>No longer an employee. FLAG: Remove licence.</t>
        </is>
      </c>
      <c r="N165" s="14" t="inlineStr"/>
    </row>
    <row r="166">
      <c r="A166" s="14" t="inlineStr">
        <is>
          <t>Ivan@WearCheckRS.com</t>
        </is>
      </c>
      <c r="B166" s="14" t="inlineStr">
        <is>
          <t>Ivan Langa</t>
        </is>
      </c>
      <c r="C166" s="14" t="inlineStr">
        <is>
          <t>RS</t>
        </is>
      </c>
      <c r="D166" s="14" t="inlineStr"/>
      <c r="E166" s="14" t="inlineStr">
        <is>
          <t>Ex-Employee</t>
        </is>
      </c>
      <c r="F166" s="14" t="inlineStr">
        <is>
          <t>No</t>
        </is>
      </c>
      <c r="G166" s="14" t="inlineStr">
        <is>
          <t>Microsoft 365 Business Standard</t>
        </is>
      </c>
      <c r="H166" s="14" t="inlineStr">
        <is>
          <t>Likely billable</t>
        </is>
      </c>
      <c r="I166" s="18">
        <f>IFERROR(VLOOKUP(G166,SKU_Cost_Input!$A$2:$E$16,4,FALSE),0)</f>
        <v/>
      </c>
      <c r="J166" s="14">
        <f>IFERROR(VLOOKUP(G166,SKU_Cost_Input!$A$2:$E$16,2,FALSE),0)</f>
        <v/>
      </c>
      <c r="K166" s="18">
        <f>IF(J166=0,0,I166/J166)</f>
        <v/>
      </c>
      <c r="L166" s="18">
        <f>K166</f>
        <v/>
      </c>
      <c r="M166" s="14" t="inlineStr">
        <is>
          <t>No longer an employee. FLAG: Remove licence.</t>
        </is>
      </c>
      <c r="N166" s="14" t="inlineStr">
        <is>
          <t>Review: Business Standard — consider Business Basic if sufficient</t>
        </is>
      </c>
    </row>
    <row r="167">
      <c r="A167" s="14" t="inlineStr">
        <is>
          <t>jacodb@WearCheckRS.com</t>
        </is>
      </c>
      <c r="B167" s="14" t="inlineStr">
        <is>
          <t>Jaco De Beer</t>
        </is>
      </c>
      <c r="C167" s="14" t="inlineStr">
        <is>
          <t>RS</t>
        </is>
      </c>
      <c r="D167" s="14" t="inlineStr">
        <is>
          <t>WEC097</t>
        </is>
      </c>
      <c r="E167" s="14" t="inlineStr">
        <is>
          <t>Matched</t>
        </is>
      </c>
      <c r="F167" s="14" t="inlineStr">
        <is>
          <t>No</t>
        </is>
      </c>
      <c r="G167" s="14" t="inlineStr">
        <is>
          <t>Microsoft Defender for Office 365 (Plan 2)</t>
        </is>
      </c>
      <c r="H167" s="14" t="inlineStr">
        <is>
          <t>Likely billable</t>
        </is>
      </c>
      <c r="I167" s="18">
        <f>IFERROR(VLOOKUP(G167,SKU_Cost_Input!$A$2:$E$16,4,FALSE),0)</f>
        <v/>
      </c>
      <c r="J167" s="14">
        <f>IFERROR(VLOOKUP(G167,SKU_Cost_Input!$A$2:$E$16,2,FALSE),0)</f>
        <v/>
      </c>
      <c r="K167" s="18">
        <f>IF(J167=0,0,I167/J167)</f>
        <v/>
      </c>
      <c r="L167" s="18">
        <f>K167</f>
        <v/>
      </c>
      <c r="M167" s="14" t="inlineStr">
        <is>
          <t>Exact company email match</t>
        </is>
      </c>
      <c r="N167" s="14" t="inlineStr"/>
    </row>
    <row r="168">
      <c r="A168" s="14" t="inlineStr">
        <is>
          <t>jacodb@WearCheckRS.com</t>
        </is>
      </c>
      <c r="B168" s="14" t="inlineStr">
        <is>
          <t>Jaco De Beer</t>
        </is>
      </c>
      <c r="C168" s="14" t="inlineStr">
        <is>
          <t>RS</t>
        </is>
      </c>
      <c r="D168" s="14" t="inlineStr">
        <is>
          <t>WEC097</t>
        </is>
      </c>
      <c r="E168" s="14" t="inlineStr">
        <is>
          <t>Matched</t>
        </is>
      </c>
      <c r="F168" s="14" t="inlineStr">
        <is>
          <t>No</t>
        </is>
      </c>
      <c r="G168" s="14" t="inlineStr">
        <is>
          <t>Microsoft 365 Business Standard</t>
        </is>
      </c>
      <c r="H168" s="14" t="inlineStr">
        <is>
          <t>Likely billable</t>
        </is>
      </c>
      <c r="I168" s="18">
        <f>IFERROR(VLOOKUP(G168,SKU_Cost_Input!$A$2:$E$16,4,FALSE),0)</f>
        <v/>
      </c>
      <c r="J168" s="14">
        <f>IFERROR(VLOOKUP(G168,SKU_Cost_Input!$A$2:$E$16,2,FALSE),0)</f>
        <v/>
      </c>
      <c r="K168" s="18">
        <f>IF(J168=0,0,I168/J168)</f>
        <v/>
      </c>
      <c r="L168" s="18">
        <f>K168</f>
        <v/>
      </c>
      <c r="M168" s="14" t="inlineStr">
        <is>
          <t>Exact company email match</t>
        </is>
      </c>
      <c r="N168" s="14" t="inlineStr">
        <is>
          <t>Review: Business Standard — consider Business Basic if sufficient</t>
        </is>
      </c>
    </row>
    <row r="169">
      <c r="A169" s="14" t="inlineStr">
        <is>
          <t>JacoV@WearCheckRS.com</t>
        </is>
      </c>
      <c r="B169" s="14" t="inlineStr">
        <is>
          <t>Jaco Venter</t>
        </is>
      </c>
      <c r="C169" s="14" t="inlineStr">
        <is>
          <t>AFS</t>
        </is>
      </c>
      <c r="D169" s="14" t="inlineStr">
        <is>
          <t>WC493</t>
        </is>
      </c>
      <c r="E169" s="14" t="inlineStr">
        <is>
          <t>Matched</t>
        </is>
      </c>
      <c r="F169" s="14" t="inlineStr">
        <is>
          <t>No</t>
        </is>
      </c>
      <c r="G169" s="14" t="inlineStr">
        <is>
          <t>Microsoft Defender for Office 365 (Plan 2)</t>
        </is>
      </c>
      <c r="H169" s="14" t="inlineStr">
        <is>
          <t>Likely billable</t>
        </is>
      </c>
      <c r="I169" s="18">
        <f>IFERROR(VLOOKUP(G169,SKU_Cost_Input!$A$2:$E$16,4,FALSE),0)</f>
        <v/>
      </c>
      <c r="J169" s="14">
        <f>IFERROR(VLOOKUP(G169,SKU_Cost_Input!$A$2:$E$16,2,FALSE),0)</f>
        <v/>
      </c>
      <c r="K169" s="18">
        <f>IF(J169=0,0,I169/J169)</f>
        <v/>
      </c>
      <c r="L169" s="18">
        <f>K169</f>
        <v/>
      </c>
      <c r="M169" s="14" t="inlineStr">
        <is>
          <t>Matched via email alias/local-part</t>
        </is>
      </c>
      <c r="N169" s="14" t="inlineStr"/>
    </row>
    <row r="170">
      <c r="A170" s="14" t="inlineStr">
        <is>
          <t>JacoV@WearCheckRS.com</t>
        </is>
      </c>
      <c r="B170" s="14" t="inlineStr">
        <is>
          <t>Jaco Venter</t>
        </is>
      </c>
      <c r="C170" s="14" t="inlineStr">
        <is>
          <t>AFS</t>
        </is>
      </c>
      <c r="D170" s="14" t="inlineStr">
        <is>
          <t>WC493</t>
        </is>
      </c>
      <c r="E170" s="14" t="inlineStr">
        <is>
          <t>Matched</t>
        </is>
      </c>
      <c r="F170" s="14" t="inlineStr">
        <is>
          <t>No</t>
        </is>
      </c>
      <c r="G170" s="14" t="inlineStr">
        <is>
          <t>Microsoft 365 Business Premium</t>
        </is>
      </c>
      <c r="H170" s="14" t="inlineStr">
        <is>
          <t>Likely billable</t>
        </is>
      </c>
      <c r="I170" s="18">
        <f>IFERROR(VLOOKUP(G170,SKU_Cost_Input!$A$2:$E$16,4,FALSE),0)</f>
        <v/>
      </c>
      <c r="J170" s="14">
        <f>IFERROR(VLOOKUP(G170,SKU_Cost_Input!$A$2:$E$16,2,FALSE),0)</f>
        <v/>
      </c>
      <c r="K170" s="18">
        <f>IF(J170=0,0,I170/J170)</f>
        <v/>
      </c>
      <c r="L170" s="18">
        <f>K170</f>
        <v/>
      </c>
      <c r="M170" s="14" t="inlineStr">
        <is>
          <t>Matched via email alias/local-part</t>
        </is>
      </c>
      <c r="N170" s="14" t="inlineStr">
        <is>
          <t>Review: Business Premium — consider Business Basic/Standard</t>
        </is>
      </c>
    </row>
    <row r="171">
      <c r="A171" s="14" t="inlineStr">
        <is>
          <t>jaco@wearcheckrs.com</t>
        </is>
      </c>
      <c r="B171" s="14" t="inlineStr">
        <is>
          <t>Jaco Willer</t>
        </is>
      </c>
      <c r="C171" s="14" t="inlineStr">
        <is>
          <t>RS</t>
        </is>
      </c>
      <c r="D171" s="14" t="inlineStr">
        <is>
          <t>WC352</t>
        </is>
      </c>
      <c r="E171" s="14" t="inlineStr">
        <is>
          <t>Matched</t>
        </is>
      </c>
      <c r="F171" s="14" t="inlineStr">
        <is>
          <t>No</t>
        </is>
      </c>
      <c r="G171" s="14" t="inlineStr">
        <is>
          <t>Microsoft 365 Business Premium</t>
        </is>
      </c>
      <c r="H171" s="14" t="inlineStr">
        <is>
          <t>Likely billable</t>
        </is>
      </c>
      <c r="I171" s="18">
        <f>IFERROR(VLOOKUP(G171,SKU_Cost_Input!$A$2:$E$16,4,FALSE),0)</f>
        <v/>
      </c>
      <c r="J171" s="14">
        <f>IFERROR(VLOOKUP(G171,SKU_Cost_Input!$A$2:$E$16,2,FALSE),0)</f>
        <v/>
      </c>
      <c r="K171" s="18">
        <f>IF(J171=0,0,I171/J171)</f>
        <v/>
      </c>
      <c r="L171" s="18">
        <f>K171</f>
        <v/>
      </c>
      <c r="M171" s="14" t="inlineStr">
        <is>
          <t>Exact company email match</t>
        </is>
      </c>
      <c r="N171" s="14" t="inlineStr">
        <is>
          <t>Review: Business Premium — consider Business Basic/Standard</t>
        </is>
      </c>
    </row>
    <row r="172">
      <c r="A172" s="14" t="inlineStr">
        <is>
          <t>jaco@wearcheckrs.com</t>
        </is>
      </c>
      <c r="B172" s="14" t="inlineStr">
        <is>
          <t>Jaco Willer</t>
        </is>
      </c>
      <c r="C172" s="14" t="inlineStr">
        <is>
          <t>RS</t>
        </is>
      </c>
      <c r="D172" s="14" t="inlineStr">
        <is>
          <t>WC352</t>
        </is>
      </c>
      <c r="E172" s="14" t="inlineStr">
        <is>
          <t>Matched</t>
        </is>
      </c>
      <c r="F172" s="14" t="inlineStr">
        <is>
          <t>No</t>
        </is>
      </c>
      <c r="G172" s="14" t="inlineStr">
        <is>
          <t>Microsoft Defender for Office 365 (Plan 2)</t>
        </is>
      </c>
      <c r="H172" s="14" t="inlineStr">
        <is>
          <t>Likely billable</t>
        </is>
      </c>
      <c r="I172" s="18">
        <f>IFERROR(VLOOKUP(G172,SKU_Cost_Input!$A$2:$E$16,4,FALSE),0)</f>
        <v/>
      </c>
      <c r="J172" s="14">
        <f>IFERROR(VLOOKUP(G172,SKU_Cost_Input!$A$2:$E$16,2,FALSE),0)</f>
        <v/>
      </c>
      <c r="K172" s="18">
        <f>IF(J172=0,0,I172/J172)</f>
        <v/>
      </c>
      <c r="L172" s="18">
        <f>K172</f>
        <v/>
      </c>
      <c r="M172" s="14" t="inlineStr">
        <is>
          <t>Exact company email match</t>
        </is>
      </c>
      <c r="N172" s="14" t="inlineStr"/>
    </row>
    <row r="173">
      <c r="A173" s="14" t="inlineStr">
        <is>
          <t>jaco@wearcheckrs.com</t>
        </is>
      </c>
      <c r="B173" s="14" t="inlineStr">
        <is>
          <t>Jaco Willer</t>
        </is>
      </c>
      <c r="C173" s="14" t="inlineStr">
        <is>
          <t>RS</t>
        </is>
      </c>
      <c r="D173" s="14" t="inlineStr">
        <is>
          <t>WC352</t>
        </is>
      </c>
      <c r="E173" s="14" t="inlineStr">
        <is>
          <t>Matched</t>
        </is>
      </c>
      <c r="F173" s="14" t="inlineStr">
        <is>
          <t>No</t>
        </is>
      </c>
      <c r="G173" s="14" t="inlineStr">
        <is>
          <t>Microsoft Power Automate Free</t>
        </is>
      </c>
      <c r="H173" s="14" t="inlineStr">
        <is>
          <t>Likely free / trial</t>
        </is>
      </c>
      <c r="I173" s="18">
        <f>IFERROR(VLOOKUP(G173,SKU_Cost_Input!$A$2:$E$16,4,FALSE),0)</f>
        <v/>
      </c>
      <c r="J173" s="14">
        <f>IFERROR(VLOOKUP(G173,SKU_Cost_Input!$A$2:$E$16,2,FALSE),0)</f>
        <v/>
      </c>
      <c r="K173" s="18">
        <f>IF(J173=0,0,I173/J173)</f>
        <v/>
      </c>
      <c r="L173" s="18">
        <f>K173</f>
        <v/>
      </c>
      <c r="M173" s="14" t="inlineStr">
        <is>
          <t>Exact company email match</t>
        </is>
      </c>
      <c r="N173" s="14" t="inlineStr"/>
    </row>
    <row r="174">
      <c r="A174" s="14" t="inlineStr">
        <is>
          <t>james@WearCheckRS.com</t>
        </is>
      </c>
      <c r="B174" s="14" t="inlineStr">
        <is>
          <t>James Tshabalala</t>
        </is>
      </c>
      <c r="C174" s="14" t="inlineStr">
        <is>
          <t>RS</t>
        </is>
      </c>
      <c r="D174" s="14" t="inlineStr">
        <is>
          <t>WC236</t>
        </is>
      </c>
      <c r="E174" s="14" t="inlineStr">
        <is>
          <t>Matched</t>
        </is>
      </c>
      <c r="F174" s="14" t="inlineStr">
        <is>
          <t>No</t>
        </is>
      </c>
      <c r="G174" s="14" t="inlineStr">
        <is>
          <t>Microsoft Defender for Office 365 (Plan 2)</t>
        </is>
      </c>
      <c r="H174" s="14" t="inlineStr">
        <is>
          <t>Likely billable</t>
        </is>
      </c>
      <c r="I174" s="18">
        <f>IFERROR(VLOOKUP(G174,SKU_Cost_Input!$A$2:$E$16,4,FALSE),0)</f>
        <v/>
      </c>
      <c r="J174" s="14">
        <f>IFERROR(VLOOKUP(G174,SKU_Cost_Input!$A$2:$E$16,2,FALSE),0)</f>
        <v/>
      </c>
      <c r="K174" s="18">
        <f>IF(J174=0,0,I174/J174)</f>
        <v/>
      </c>
      <c r="L174" s="18">
        <f>K174</f>
        <v/>
      </c>
      <c r="M174" s="14" t="inlineStr">
        <is>
          <t>Exact company email match</t>
        </is>
      </c>
      <c r="N174" s="14" t="inlineStr"/>
    </row>
    <row r="175">
      <c r="A175" s="14" t="inlineStr">
        <is>
          <t>james@WearCheckRS.com</t>
        </is>
      </c>
      <c r="B175" s="14" t="inlineStr">
        <is>
          <t>James Tshabalala</t>
        </is>
      </c>
      <c r="C175" s="14" t="inlineStr">
        <is>
          <t>RS</t>
        </is>
      </c>
      <c r="D175" s="14" t="inlineStr">
        <is>
          <t>WC236</t>
        </is>
      </c>
      <c r="E175" s="14" t="inlineStr">
        <is>
          <t>Matched</t>
        </is>
      </c>
      <c r="F175" s="14" t="inlineStr">
        <is>
          <t>No</t>
        </is>
      </c>
      <c r="G175" s="14" t="inlineStr">
        <is>
          <t>Microsoft Power Automate Free</t>
        </is>
      </c>
      <c r="H175" s="14" t="inlineStr">
        <is>
          <t>Likely free / trial</t>
        </is>
      </c>
      <c r="I175" s="18">
        <f>IFERROR(VLOOKUP(G175,SKU_Cost_Input!$A$2:$E$16,4,FALSE),0)</f>
        <v/>
      </c>
      <c r="J175" s="14">
        <f>IFERROR(VLOOKUP(G175,SKU_Cost_Input!$A$2:$E$16,2,FALSE),0)</f>
        <v/>
      </c>
      <c r="K175" s="18">
        <f>IF(J175=0,0,I175/J175)</f>
        <v/>
      </c>
      <c r="L175" s="18">
        <f>K175</f>
        <v/>
      </c>
      <c r="M175" s="14" t="inlineStr">
        <is>
          <t>Exact company email match</t>
        </is>
      </c>
      <c r="N175" s="14" t="inlineStr"/>
    </row>
    <row r="176">
      <c r="A176" s="14" t="inlineStr">
        <is>
          <t>james@WearCheckRS.com</t>
        </is>
      </c>
      <c r="B176" s="14" t="inlineStr">
        <is>
          <t>James Tshabalala</t>
        </is>
      </c>
      <c r="C176" s="14" t="inlineStr">
        <is>
          <t>RS</t>
        </is>
      </c>
      <c r="D176" s="14" t="inlineStr">
        <is>
          <t>WC236</t>
        </is>
      </c>
      <c r="E176" s="14" t="inlineStr">
        <is>
          <t>Matched</t>
        </is>
      </c>
      <c r="F176" s="14" t="inlineStr">
        <is>
          <t>No</t>
        </is>
      </c>
      <c r="G176" s="14" t="inlineStr">
        <is>
          <t>Microsoft Fabric (Free)</t>
        </is>
      </c>
      <c r="H176" s="14" t="inlineStr">
        <is>
          <t>Likely free / trial</t>
        </is>
      </c>
      <c r="I176" s="18">
        <f>IFERROR(VLOOKUP(G176,SKU_Cost_Input!$A$2:$E$16,4,FALSE),0)</f>
        <v/>
      </c>
      <c r="J176" s="14">
        <f>IFERROR(VLOOKUP(G176,SKU_Cost_Input!$A$2:$E$16,2,FALSE),0)</f>
        <v/>
      </c>
      <c r="K176" s="18">
        <f>IF(J176=0,0,I176/J176)</f>
        <v/>
      </c>
      <c r="L176" s="18">
        <f>K176</f>
        <v/>
      </c>
      <c r="M176" s="14" t="inlineStr">
        <is>
          <t>Exact company email match</t>
        </is>
      </c>
      <c r="N176" s="14" t="inlineStr"/>
    </row>
    <row r="177">
      <c r="A177" s="14" t="inlineStr">
        <is>
          <t>james@WearCheckRS.com</t>
        </is>
      </c>
      <c r="B177" s="14" t="inlineStr">
        <is>
          <t>James Tshabalala</t>
        </is>
      </c>
      <c r="C177" s="14" t="inlineStr">
        <is>
          <t>RS</t>
        </is>
      </c>
      <c r="D177" s="14" t="inlineStr">
        <is>
          <t>WC236</t>
        </is>
      </c>
      <c r="E177" s="14" t="inlineStr">
        <is>
          <t>Matched</t>
        </is>
      </c>
      <c r="F177" s="14" t="inlineStr">
        <is>
          <t>No</t>
        </is>
      </c>
      <c r="G177" s="14" t="inlineStr">
        <is>
          <t>Microsoft 365 Business Standard</t>
        </is>
      </c>
      <c r="H177" s="14" t="inlineStr">
        <is>
          <t>Likely billable</t>
        </is>
      </c>
      <c r="I177" s="18">
        <f>IFERROR(VLOOKUP(G177,SKU_Cost_Input!$A$2:$E$16,4,FALSE),0)</f>
        <v/>
      </c>
      <c r="J177" s="14">
        <f>IFERROR(VLOOKUP(G177,SKU_Cost_Input!$A$2:$E$16,2,FALSE),0)</f>
        <v/>
      </c>
      <c r="K177" s="18">
        <f>IF(J177=0,0,I177/J177)</f>
        <v/>
      </c>
      <c r="L177" s="18">
        <f>K177</f>
        <v/>
      </c>
      <c r="M177" s="14" t="inlineStr">
        <is>
          <t>Exact company email match</t>
        </is>
      </c>
      <c r="N177" s="14" t="inlineStr">
        <is>
          <t>Review: Business Standard — consider Business Basic if sufficient</t>
        </is>
      </c>
    </row>
    <row r="178">
      <c r="A178" s="14" t="inlineStr">
        <is>
          <t>jj@WearCheckRS.com</t>
        </is>
      </c>
      <c r="B178" s="14" t="inlineStr">
        <is>
          <t>Jean-Jacques</t>
        </is>
      </c>
      <c r="C178" s="14" t="inlineStr">
        <is>
          <t>RS</t>
        </is>
      </c>
      <c r="D178" s="14" t="inlineStr">
        <is>
          <t>WEC137</t>
        </is>
      </c>
      <c r="E178" s="14" t="inlineStr">
        <is>
          <t>Matched</t>
        </is>
      </c>
      <c r="F178" s="14" t="inlineStr">
        <is>
          <t>No</t>
        </is>
      </c>
      <c r="G178" s="14" t="inlineStr">
        <is>
          <t>Microsoft 365 Business Premium</t>
        </is>
      </c>
      <c r="H178" s="14" t="inlineStr">
        <is>
          <t>Likely billable</t>
        </is>
      </c>
      <c r="I178" s="18">
        <f>IFERROR(VLOOKUP(G178,SKU_Cost_Input!$A$2:$E$16,4,FALSE),0)</f>
        <v/>
      </c>
      <c r="J178" s="14">
        <f>IFERROR(VLOOKUP(G178,SKU_Cost_Input!$A$2:$E$16,2,FALSE),0)</f>
        <v/>
      </c>
      <c r="K178" s="18">
        <f>IF(J178=0,0,I178/J178)</f>
        <v/>
      </c>
      <c r="L178" s="18">
        <f>K178</f>
        <v/>
      </c>
      <c r="M178" s="14" t="inlineStr">
        <is>
          <t>Exact company email match</t>
        </is>
      </c>
      <c r="N178" s="14" t="inlineStr">
        <is>
          <t>Review: Business Premium — consider Business Basic/Standard</t>
        </is>
      </c>
    </row>
    <row r="179">
      <c r="A179" s="14" t="inlineStr">
        <is>
          <t>jj@WearCheckRS.com</t>
        </is>
      </c>
      <c r="B179" s="14" t="inlineStr">
        <is>
          <t>Jean-Jacques</t>
        </is>
      </c>
      <c r="C179" s="14" t="inlineStr">
        <is>
          <t>RS</t>
        </is>
      </c>
      <c r="D179" s="14" t="inlineStr">
        <is>
          <t>WEC137</t>
        </is>
      </c>
      <c r="E179" s="14" t="inlineStr">
        <is>
          <t>Matched</t>
        </is>
      </c>
      <c r="F179" s="14" t="inlineStr">
        <is>
          <t>No</t>
        </is>
      </c>
      <c r="G179" s="14" t="inlineStr">
        <is>
          <t>Microsoft Power Automate Free</t>
        </is>
      </c>
      <c r="H179" s="14" t="inlineStr">
        <is>
          <t>Likely free / trial</t>
        </is>
      </c>
      <c r="I179" s="18">
        <f>IFERROR(VLOOKUP(G179,SKU_Cost_Input!$A$2:$E$16,4,FALSE),0)</f>
        <v/>
      </c>
      <c r="J179" s="14">
        <f>IFERROR(VLOOKUP(G179,SKU_Cost_Input!$A$2:$E$16,2,FALSE),0)</f>
        <v/>
      </c>
      <c r="K179" s="18">
        <f>IF(J179=0,0,I179/J179)</f>
        <v/>
      </c>
      <c r="L179" s="18">
        <f>K179</f>
        <v/>
      </c>
      <c r="M179" s="14" t="inlineStr">
        <is>
          <t>Exact company email match</t>
        </is>
      </c>
      <c r="N179" s="14" t="inlineStr"/>
    </row>
    <row r="180">
      <c r="A180" s="14" t="inlineStr">
        <is>
          <t>jj@WearCheckRS.com</t>
        </is>
      </c>
      <c r="B180" s="14" t="inlineStr">
        <is>
          <t>Jean-Jacques</t>
        </is>
      </c>
      <c r="C180" s="14" t="inlineStr">
        <is>
          <t>RS</t>
        </is>
      </c>
      <c r="D180" s="14" t="inlineStr">
        <is>
          <t>WEC137</t>
        </is>
      </c>
      <c r="E180" s="14" t="inlineStr">
        <is>
          <t>Matched</t>
        </is>
      </c>
      <c r="F180" s="14" t="inlineStr">
        <is>
          <t>No</t>
        </is>
      </c>
      <c r="G180" s="14" t="inlineStr">
        <is>
          <t>Microsoft Fabric (Free)</t>
        </is>
      </c>
      <c r="H180" s="14" t="inlineStr">
        <is>
          <t>Likely free / trial</t>
        </is>
      </c>
      <c r="I180" s="18">
        <f>IFERROR(VLOOKUP(G180,SKU_Cost_Input!$A$2:$E$16,4,FALSE),0)</f>
        <v/>
      </c>
      <c r="J180" s="14">
        <f>IFERROR(VLOOKUP(G180,SKU_Cost_Input!$A$2:$E$16,2,FALSE),0)</f>
        <v/>
      </c>
      <c r="K180" s="18">
        <f>IF(J180=0,0,I180/J180)</f>
        <v/>
      </c>
      <c r="L180" s="18">
        <f>K180</f>
        <v/>
      </c>
      <c r="M180" s="14" t="inlineStr">
        <is>
          <t>Exact company email match</t>
        </is>
      </c>
      <c r="N180" s="14" t="inlineStr"/>
    </row>
    <row r="181">
      <c r="A181" s="14" t="inlineStr">
        <is>
          <t>jj@WearCheckRS.com</t>
        </is>
      </c>
      <c r="B181" s="14" t="inlineStr">
        <is>
          <t>Jean-Jacques</t>
        </is>
      </c>
      <c r="C181" s="14" t="inlineStr">
        <is>
          <t>RS</t>
        </is>
      </c>
      <c r="D181" s="14" t="inlineStr">
        <is>
          <t>WEC137</t>
        </is>
      </c>
      <c r="E181" s="14" t="inlineStr">
        <is>
          <t>Matched</t>
        </is>
      </c>
      <c r="F181" s="14" t="inlineStr">
        <is>
          <t>No</t>
        </is>
      </c>
      <c r="G181" s="14" t="inlineStr">
        <is>
          <t>Microsoft Defender for Office 365 (Plan 2)</t>
        </is>
      </c>
      <c r="H181" s="14" t="inlineStr">
        <is>
          <t>Likely billable</t>
        </is>
      </c>
      <c r="I181" s="18">
        <f>IFERROR(VLOOKUP(G181,SKU_Cost_Input!$A$2:$E$16,4,FALSE),0)</f>
        <v/>
      </c>
      <c r="J181" s="14">
        <f>IFERROR(VLOOKUP(G181,SKU_Cost_Input!$A$2:$E$16,2,FALSE),0)</f>
        <v/>
      </c>
      <c r="K181" s="18">
        <f>IF(J181=0,0,I181/J181)</f>
        <v/>
      </c>
      <c r="L181" s="18">
        <f>K181</f>
        <v/>
      </c>
      <c r="M181" s="14" t="inlineStr">
        <is>
          <t>Exact company email match</t>
        </is>
      </c>
      <c r="N181" s="14" t="inlineStr"/>
    </row>
    <row r="182">
      <c r="A182" s="14" t="inlineStr">
        <is>
          <t>Jean-Pierre@WearCheckRS.com</t>
        </is>
      </c>
      <c r="B182" s="14" t="inlineStr">
        <is>
          <t>Jean Pierre Du Plessis</t>
        </is>
      </c>
      <c r="C182" s="14" t="inlineStr">
        <is>
          <t>AFS</t>
        </is>
      </c>
      <c r="D182" s="14" t="inlineStr"/>
      <c r="E182" s="14" t="inlineStr">
        <is>
          <t>Confirmed</t>
        </is>
      </c>
      <c r="F182" s="14" t="inlineStr">
        <is>
          <t>No</t>
        </is>
      </c>
      <c r="G182" s="14" t="inlineStr">
        <is>
          <t>Microsoft 365 Business Standard</t>
        </is>
      </c>
      <c r="H182" s="14" t="inlineStr">
        <is>
          <t>Likely billable</t>
        </is>
      </c>
      <c r="I182" s="18">
        <f>IFERROR(VLOOKUP(G182,SKU_Cost_Input!$A$2:$E$16,4,FALSE),0)</f>
        <v/>
      </c>
      <c r="J182" s="14">
        <f>IFERROR(VLOOKUP(G182,SKU_Cost_Input!$A$2:$E$16,2,FALSE),0)</f>
        <v/>
      </c>
      <c r="K182" s="18">
        <f>IF(J182=0,0,I182/J182)</f>
        <v/>
      </c>
      <c r="L182" s="18">
        <f>K182</f>
        <v/>
      </c>
      <c r="M182" s="14" t="inlineStr">
        <is>
          <t>Confirmed match via exact name (reviewed)</t>
        </is>
      </c>
      <c r="N182" s="14" t="inlineStr">
        <is>
          <t>Review: Business Standard — consider Business Basic if sufficient</t>
        </is>
      </c>
    </row>
    <row r="183">
      <c r="A183" s="14" t="inlineStr">
        <is>
          <t>Jean-Pierre@WearCheckRS.com</t>
        </is>
      </c>
      <c r="B183" s="14" t="inlineStr">
        <is>
          <t>Jean Pierre Du Plessis</t>
        </is>
      </c>
      <c r="C183" s="14" t="inlineStr">
        <is>
          <t>AFS</t>
        </is>
      </c>
      <c r="D183" s="14" t="inlineStr"/>
      <c r="E183" s="14" t="inlineStr">
        <is>
          <t>Confirmed</t>
        </is>
      </c>
      <c r="F183" s="14" t="inlineStr">
        <is>
          <t>No</t>
        </is>
      </c>
      <c r="G183" s="14" t="inlineStr">
        <is>
          <t>Microsoft Defender for Office 365 (Plan 2)</t>
        </is>
      </c>
      <c r="H183" s="14" t="inlineStr">
        <is>
          <t>Likely billable</t>
        </is>
      </c>
      <c r="I183" s="18">
        <f>IFERROR(VLOOKUP(G183,SKU_Cost_Input!$A$2:$E$16,4,FALSE),0)</f>
        <v/>
      </c>
      <c r="J183" s="14">
        <f>IFERROR(VLOOKUP(G183,SKU_Cost_Input!$A$2:$E$16,2,FALSE),0)</f>
        <v/>
      </c>
      <c r="K183" s="18">
        <f>IF(J183=0,0,I183/J183)</f>
        <v/>
      </c>
      <c r="L183" s="18">
        <f>K183</f>
        <v/>
      </c>
      <c r="M183" s="14" t="inlineStr">
        <is>
          <t>Confirmed match via exact name (reviewed)</t>
        </is>
      </c>
      <c r="N183" s="14" t="inlineStr"/>
    </row>
    <row r="184">
      <c r="A184" s="14" t="inlineStr">
        <is>
          <t>Joe@WearCheckRS.com</t>
        </is>
      </c>
      <c r="B184" s="14" t="inlineStr">
        <is>
          <t>Joe Kies</t>
        </is>
      </c>
      <c r="C184" s="14" t="inlineStr">
        <is>
          <t>AFS</t>
        </is>
      </c>
      <c r="D184" s="14" t="inlineStr"/>
      <c r="E184" s="14" t="inlineStr">
        <is>
          <t>Confirmed</t>
        </is>
      </c>
      <c r="F184" s="14" t="inlineStr">
        <is>
          <t>No</t>
        </is>
      </c>
      <c r="G184" s="14" t="inlineStr">
        <is>
          <t>Microsoft Power Automate Free</t>
        </is>
      </c>
      <c r="H184" s="14" t="inlineStr">
        <is>
          <t>Likely free / trial</t>
        </is>
      </c>
      <c r="I184" s="18">
        <f>IFERROR(VLOOKUP(G184,SKU_Cost_Input!$A$2:$E$16,4,FALSE),0)</f>
        <v/>
      </c>
      <c r="J184" s="14">
        <f>IFERROR(VLOOKUP(G184,SKU_Cost_Input!$A$2:$E$16,2,FALSE),0)</f>
        <v/>
      </c>
      <c r="K184" s="18">
        <f>IF(J184=0,0,I184/J184)</f>
        <v/>
      </c>
      <c r="L184" s="18">
        <f>K184</f>
        <v/>
      </c>
      <c r="M184" s="14" t="inlineStr">
        <is>
          <t>Confirmed match via manual alias/name rule (reviewed)</t>
        </is>
      </c>
      <c r="N184" s="14" t="inlineStr"/>
    </row>
    <row r="185">
      <c r="A185" s="14" t="inlineStr">
        <is>
          <t>Joe@WearCheckRS.com</t>
        </is>
      </c>
      <c r="B185" s="14" t="inlineStr">
        <is>
          <t>Joe Kies</t>
        </is>
      </c>
      <c r="C185" s="14" t="inlineStr">
        <is>
          <t>AFS</t>
        </is>
      </c>
      <c r="D185" s="14" t="inlineStr"/>
      <c r="E185" s="14" t="inlineStr">
        <is>
          <t>Confirmed</t>
        </is>
      </c>
      <c r="F185" s="14" t="inlineStr">
        <is>
          <t>No</t>
        </is>
      </c>
      <c r="G185" s="14" t="inlineStr">
        <is>
          <t>Microsoft 365 Business Standard</t>
        </is>
      </c>
      <c r="H185" s="14" t="inlineStr">
        <is>
          <t>Likely billable</t>
        </is>
      </c>
      <c r="I185" s="18">
        <f>IFERROR(VLOOKUP(G185,SKU_Cost_Input!$A$2:$E$16,4,FALSE),0)</f>
        <v/>
      </c>
      <c r="J185" s="14">
        <f>IFERROR(VLOOKUP(G185,SKU_Cost_Input!$A$2:$E$16,2,FALSE),0)</f>
        <v/>
      </c>
      <c r="K185" s="18">
        <f>IF(J185=0,0,I185/J185)</f>
        <v/>
      </c>
      <c r="L185" s="18">
        <f>K185</f>
        <v/>
      </c>
      <c r="M185" s="14" t="inlineStr">
        <is>
          <t>Confirmed match via manual alias/name rule (reviewed)</t>
        </is>
      </c>
      <c r="N185" s="14" t="inlineStr">
        <is>
          <t>Review: Business Standard — consider Business Basic if sufficient</t>
        </is>
      </c>
    </row>
    <row r="186">
      <c r="A186" s="14" t="inlineStr">
        <is>
          <t>Joe@WearCheckRS.com</t>
        </is>
      </c>
      <c r="B186" s="14" t="inlineStr">
        <is>
          <t>Joe Kies</t>
        </is>
      </c>
      <c r="C186" s="14" t="inlineStr">
        <is>
          <t>AFS</t>
        </is>
      </c>
      <c r="D186" s="14" t="inlineStr"/>
      <c r="E186" s="14" t="inlineStr">
        <is>
          <t>Confirmed</t>
        </is>
      </c>
      <c r="F186" s="14" t="inlineStr">
        <is>
          <t>No</t>
        </is>
      </c>
      <c r="G186" s="14" t="inlineStr">
        <is>
          <t>Microsoft Power Apps Plan 2 Trial</t>
        </is>
      </c>
      <c r="H186" s="14" t="inlineStr">
        <is>
          <t>Likely free / trial</t>
        </is>
      </c>
      <c r="I186" s="18">
        <f>IFERROR(VLOOKUP(G186,SKU_Cost_Input!$A$2:$E$16,4,FALSE),0)</f>
        <v/>
      </c>
      <c r="J186" s="14">
        <f>IFERROR(VLOOKUP(G186,SKU_Cost_Input!$A$2:$E$16,2,FALSE),0)</f>
        <v/>
      </c>
      <c r="K186" s="18">
        <f>IF(J186=0,0,I186/J186)</f>
        <v/>
      </c>
      <c r="L186" s="18">
        <f>K186</f>
        <v/>
      </c>
      <c r="M186" s="14" t="inlineStr">
        <is>
          <t>Confirmed match via manual alias/name rule (reviewed)</t>
        </is>
      </c>
      <c r="N186" s="14" t="inlineStr"/>
    </row>
    <row r="187">
      <c r="A187" s="14" t="inlineStr">
        <is>
          <t>Joe@WearCheckRS.com</t>
        </is>
      </c>
      <c r="B187" s="14" t="inlineStr">
        <is>
          <t>Joe Kies</t>
        </is>
      </c>
      <c r="C187" s="14" t="inlineStr">
        <is>
          <t>AFS</t>
        </is>
      </c>
      <c r="D187" s="14" t="inlineStr"/>
      <c r="E187" s="14" t="inlineStr">
        <is>
          <t>Confirmed</t>
        </is>
      </c>
      <c r="F187" s="14" t="inlineStr">
        <is>
          <t>No</t>
        </is>
      </c>
      <c r="G187" s="14" t="inlineStr">
        <is>
          <t>Microsoft Fabric (Free)</t>
        </is>
      </c>
      <c r="H187" s="14" t="inlineStr">
        <is>
          <t>Likely free / trial</t>
        </is>
      </c>
      <c r="I187" s="18">
        <f>IFERROR(VLOOKUP(G187,SKU_Cost_Input!$A$2:$E$16,4,FALSE),0)</f>
        <v/>
      </c>
      <c r="J187" s="14">
        <f>IFERROR(VLOOKUP(G187,SKU_Cost_Input!$A$2:$E$16,2,FALSE),0)</f>
        <v/>
      </c>
      <c r="K187" s="18">
        <f>IF(J187=0,0,I187/J187)</f>
        <v/>
      </c>
      <c r="L187" s="18">
        <f>K187</f>
        <v/>
      </c>
      <c r="M187" s="14" t="inlineStr">
        <is>
          <t>Confirmed match via manual alias/name rule (reviewed)</t>
        </is>
      </c>
      <c r="N187" s="14" t="inlineStr"/>
    </row>
    <row r="188">
      <c r="A188" s="14" t="inlineStr">
        <is>
          <t>Joe@WearCheckRS.com</t>
        </is>
      </c>
      <c r="B188" s="14" t="inlineStr">
        <is>
          <t>Joe Kies</t>
        </is>
      </c>
      <c r="C188" s="14" t="inlineStr">
        <is>
          <t>AFS</t>
        </is>
      </c>
      <c r="D188" s="14" t="inlineStr"/>
      <c r="E188" s="14" t="inlineStr">
        <is>
          <t>Confirmed</t>
        </is>
      </c>
      <c r="F188" s="14" t="inlineStr">
        <is>
          <t>No</t>
        </is>
      </c>
      <c r="G188" s="14" t="inlineStr">
        <is>
          <t>Microsoft Copilot Studio Viral Trial</t>
        </is>
      </c>
      <c r="H188" s="14" t="inlineStr">
        <is>
          <t>Likely free / trial</t>
        </is>
      </c>
      <c r="I188" s="18">
        <f>IFERROR(VLOOKUP(G188,SKU_Cost_Input!$A$2:$E$16,4,FALSE),0)</f>
        <v/>
      </c>
      <c r="J188" s="14">
        <f>IFERROR(VLOOKUP(G188,SKU_Cost_Input!$A$2:$E$16,2,FALSE),0)</f>
        <v/>
      </c>
      <c r="K188" s="18">
        <f>IF(J188=0,0,I188/J188)</f>
        <v/>
      </c>
      <c r="L188" s="18">
        <f>K188</f>
        <v/>
      </c>
      <c r="M188" s="14" t="inlineStr">
        <is>
          <t>Confirmed match via manual alias/name rule (reviewed)</t>
        </is>
      </c>
      <c r="N188" s="14" t="inlineStr"/>
    </row>
    <row r="189">
      <c r="A189" s="14" t="inlineStr">
        <is>
          <t>Joe@WearCheckRS.com</t>
        </is>
      </c>
      <c r="B189" s="14" t="inlineStr">
        <is>
          <t>Joe Kies</t>
        </is>
      </c>
      <c r="C189" s="14" t="inlineStr">
        <is>
          <t>AFS</t>
        </is>
      </c>
      <c r="D189" s="14" t="inlineStr"/>
      <c r="E189" s="14" t="inlineStr">
        <is>
          <t>Confirmed</t>
        </is>
      </c>
      <c r="F189" s="14" t="inlineStr">
        <is>
          <t>No</t>
        </is>
      </c>
      <c r="G189" s="14" t="inlineStr">
        <is>
          <t>Microsoft Power Apps for Developer</t>
        </is>
      </c>
      <c r="H189" s="14" t="inlineStr">
        <is>
          <t>Likely billable</t>
        </is>
      </c>
      <c r="I189" s="18">
        <f>IFERROR(VLOOKUP(G189,SKU_Cost_Input!$A$2:$E$16,4,FALSE),0)</f>
        <v/>
      </c>
      <c r="J189" s="14">
        <f>IFERROR(VLOOKUP(G189,SKU_Cost_Input!$A$2:$E$16,2,FALSE),0)</f>
        <v/>
      </c>
      <c r="K189" s="18">
        <f>IF(J189=0,0,I189/J189)</f>
        <v/>
      </c>
      <c r="L189" s="18">
        <f>K189</f>
        <v/>
      </c>
      <c r="M189" s="14" t="inlineStr">
        <is>
          <t>Confirmed match via manual alias/name rule (reviewed)</t>
        </is>
      </c>
      <c r="N189" s="14" t="inlineStr"/>
    </row>
    <row r="190">
      <c r="A190" s="14" t="inlineStr">
        <is>
          <t>Joe@WearCheckRS.com</t>
        </is>
      </c>
      <c r="B190" s="14" t="inlineStr">
        <is>
          <t>Joe Kies</t>
        </is>
      </c>
      <c r="C190" s="14" t="inlineStr">
        <is>
          <t>AFS</t>
        </is>
      </c>
      <c r="D190" s="14" t="inlineStr"/>
      <c r="E190" s="14" t="inlineStr">
        <is>
          <t>Confirmed</t>
        </is>
      </c>
      <c r="F190" s="14" t="inlineStr">
        <is>
          <t>No</t>
        </is>
      </c>
      <c r="G190" s="14" t="inlineStr">
        <is>
          <t>Power Pages vTrial for Makers</t>
        </is>
      </c>
      <c r="H190" s="14" t="inlineStr">
        <is>
          <t>Likely free / trial</t>
        </is>
      </c>
      <c r="I190" s="18">
        <f>IFERROR(VLOOKUP(G190,SKU_Cost_Input!$A$2:$E$16,4,FALSE),0)</f>
        <v/>
      </c>
      <c r="J190" s="14">
        <f>IFERROR(VLOOKUP(G190,SKU_Cost_Input!$A$2:$E$16,2,FALSE),0)</f>
        <v/>
      </c>
      <c r="K190" s="18">
        <f>IF(J190=0,0,I190/J190)</f>
        <v/>
      </c>
      <c r="L190" s="18">
        <f>K190</f>
        <v/>
      </c>
      <c r="M190" s="14" t="inlineStr">
        <is>
          <t>Confirmed match via manual alias/name rule (reviewed)</t>
        </is>
      </c>
      <c r="N190" s="14" t="inlineStr"/>
    </row>
    <row r="191">
      <c r="A191" s="14" t="inlineStr">
        <is>
          <t>Joe@WearCheckRS.com</t>
        </is>
      </c>
      <c r="B191" s="14" t="inlineStr">
        <is>
          <t>Joe Kies</t>
        </is>
      </c>
      <c r="C191" s="14" t="inlineStr">
        <is>
          <t>AFS</t>
        </is>
      </c>
      <c r="D191" s="14" t="inlineStr"/>
      <c r="E191" s="14" t="inlineStr">
        <is>
          <t>Confirmed</t>
        </is>
      </c>
      <c r="F191" s="14" t="inlineStr">
        <is>
          <t>No</t>
        </is>
      </c>
      <c r="G191" s="14" t="inlineStr">
        <is>
          <t>Microsoft Defender for Office 365 (Plan 2)</t>
        </is>
      </c>
      <c r="H191" s="14" t="inlineStr">
        <is>
          <t>Likely billable</t>
        </is>
      </c>
      <c r="I191" s="18">
        <f>IFERROR(VLOOKUP(G191,SKU_Cost_Input!$A$2:$E$16,4,FALSE),0)</f>
        <v/>
      </c>
      <c r="J191" s="14">
        <f>IFERROR(VLOOKUP(G191,SKU_Cost_Input!$A$2:$E$16,2,FALSE),0)</f>
        <v/>
      </c>
      <c r="K191" s="18">
        <f>IF(J191=0,0,I191/J191)</f>
        <v/>
      </c>
      <c r="L191" s="18">
        <f>K191</f>
        <v/>
      </c>
      <c r="M191" s="14" t="inlineStr">
        <is>
          <t>Confirmed match via manual alias/name rule (reviewed)</t>
        </is>
      </c>
      <c r="N191" s="14" t="inlineStr"/>
    </row>
    <row r="192">
      <c r="A192" s="14" t="inlineStr">
        <is>
          <t>Joe@WearCheckRS.com</t>
        </is>
      </c>
      <c r="B192" s="14" t="inlineStr">
        <is>
          <t>Joe Kies</t>
        </is>
      </c>
      <c r="C192" s="14" t="inlineStr">
        <is>
          <t>AFS</t>
        </is>
      </c>
      <c r="D192" s="14" t="inlineStr"/>
      <c r="E192" s="14" t="inlineStr">
        <is>
          <t>Confirmed</t>
        </is>
      </c>
      <c r="F192" s="14" t="inlineStr">
        <is>
          <t>No</t>
        </is>
      </c>
      <c r="G192" s="14" t="inlineStr">
        <is>
          <t>Dynamics 365 Customer Insights Self-Service</t>
        </is>
      </c>
      <c r="H192" s="14" t="inlineStr">
        <is>
          <t>Likely billable</t>
        </is>
      </c>
      <c r="I192" s="18">
        <f>IFERROR(VLOOKUP(G192,SKU_Cost_Input!$A$2:$E$16,4,FALSE),0)</f>
        <v/>
      </c>
      <c r="J192" s="14">
        <f>IFERROR(VLOOKUP(G192,SKU_Cost_Input!$A$2:$E$16,2,FALSE),0)</f>
        <v/>
      </c>
      <c r="K192" s="18">
        <f>IF(J192=0,0,I192/J192)</f>
        <v/>
      </c>
      <c r="L192" s="18">
        <f>K192</f>
        <v/>
      </c>
      <c r="M192" s="14" t="inlineStr">
        <is>
          <t>Confirmed match via manual alias/name rule (reviewed)</t>
        </is>
      </c>
      <c r="N192" s="14" t="inlineStr"/>
    </row>
    <row r="193">
      <c r="A193" s="14" t="inlineStr">
        <is>
          <t>JohanB@WearCheckRS.com</t>
        </is>
      </c>
      <c r="B193" s="14" t="inlineStr">
        <is>
          <t>Johan Bekker</t>
        </is>
      </c>
      <c r="C193" s="14" t="inlineStr">
        <is>
          <t>AFS</t>
        </is>
      </c>
      <c r="D193" s="14" t="inlineStr">
        <is>
          <t>WC645</t>
        </is>
      </c>
      <c r="E193" s="14" t="inlineStr">
        <is>
          <t>Matched</t>
        </is>
      </c>
      <c r="F193" s="14" t="inlineStr">
        <is>
          <t>No</t>
        </is>
      </c>
      <c r="G193" s="14" t="inlineStr">
        <is>
          <t>Microsoft Defender for Office 365 (Plan 2)</t>
        </is>
      </c>
      <c r="H193" s="14" t="inlineStr">
        <is>
          <t>Likely billable</t>
        </is>
      </c>
      <c r="I193" s="18">
        <f>IFERROR(VLOOKUP(G193,SKU_Cost_Input!$A$2:$E$16,4,FALSE),0)</f>
        <v/>
      </c>
      <c r="J193" s="14">
        <f>IFERROR(VLOOKUP(G193,SKU_Cost_Input!$A$2:$E$16,2,FALSE),0)</f>
        <v/>
      </c>
      <c r="K193" s="18">
        <f>IF(J193=0,0,I193/J193)</f>
        <v/>
      </c>
      <c r="L193" s="18">
        <f>K193</f>
        <v/>
      </c>
      <c r="M193" s="14" t="inlineStr">
        <is>
          <t>Exact company email match</t>
        </is>
      </c>
      <c r="N193" s="14" t="inlineStr"/>
    </row>
    <row r="194">
      <c r="A194" s="14" t="inlineStr">
        <is>
          <t>JohanB@WearCheckRS.com</t>
        </is>
      </c>
      <c r="B194" s="14" t="inlineStr">
        <is>
          <t>Johan Bekker</t>
        </is>
      </c>
      <c r="C194" s="14" t="inlineStr">
        <is>
          <t>AFS</t>
        </is>
      </c>
      <c r="D194" s="14" t="inlineStr">
        <is>
          <t>WC645</t>
        </is>
      </c>
      <c r="E194" s="14" t="inlineStr">
        <is>
          <t>Matched</t>
        </is>
      </c>
      <c r="F194" s="14" t="inlineStr">
        <is>
          <t>No</t>
        </is>
      </c>
      <c r="G194" s="14" t="inlineStr">
        <is>
          <t>Microsoft Power Automate Free</t>
        </is>
      </c>
      <c r="H194" s="14" t="inlineStr">
        <is>
          <t>Likely free / trial</t>
        </is>
      </c>
      <c r="I194" s="18">
        <f>IFERROR(VLOOKUP(G194,SKU_Cost_Input!$A$2:$E$16,4,FALSE),0)</f>
        <v/>
      </c>
      <c r="J194" s="14">
        <f>IFERROR(VLOOKUP(G194,SKU_Cost_Input!$A$2:$E$16,2,FALSE),0)</f>
        <v/>
      </c>
      <c r="K194" s="18">
        <f>IF(J194=0,0,I194/J194)</f>
        <v/>
      </c>
      <c r="L194" s="18">
        <f>K194</f>
        <v/>
      </c>
      <c r="M194" s="14" t="inlineStr">
        <is>
          <t>Exact company email match</t>
        </is>
      </c>
      <c r="N194" s="14" t="inlineStr"/>
    </row>
    <row r="195">
      <c r="A195" s="14" t="inlineStr">
        <is>
          <t>JohanB@WearCheckRS.com</t>
        </is>
      </c>
      <c r="B195" s="14" t="inlineStr">
        <is>
          <t>Johan Bekker</t>
        </is>
      </c>
      <c r="C195" s="14" t="inlineStr">
        <is>
          <t>AFS</t>
        </is>
      </c>
      <c r="D195" s="14" t="inlineStr">
        <is>
          <t>WC645</t>
        </is>
      </c>
      <c r="E195" s="14" t="inlineStr">
        <is>
          <t>Matched</t>
        </is>
      </c>
      <c r="F195" s="14" t="inlineStr">
        <is>
          <t>No</t>
        </is>
      </c>
      <c r="G195" s="14" t="inlineStr">
        <is>
          <t>Microsoft 365 Business Standard</t>
        </is>
      </c>
      <c r="H195" s="14" t="inlineStr">
        <is>
          <t>Likely billable</t>
        </is>
      </c>
      <c r="I195" s="18">
        <f>IFERROR(VLOOKUP(G195,SKU_Cost_Input!$A$2:$E$16,4,FALSE),0)</f>
        <v/>
      </c>
      <c r="J195" s="14">
        <f>IFERROR(VLOOKUP(G195,SKU_Cost_Input!$A$2:$E$16,2,FALSE),0)</f>
        <v/>
      </c>
      <c r="K195" s="18">
        <f>IF(J195=0,0,I195/J195)</f>
        <v/>
      </c>
      <c r="L195" s="18">
        <f>K195</f>
        <v/>
      </c>
      <c r="M195" s="14" t="inlineStr">
        <is>
          <t>Exact company email match</t>
        </is>
      </c>
      <c r="N195" s="14" t="inlineStr">
        <is>
          <t>Review: Business Standard — consider Business Basic if sufficient</t>
        </is>
      </c>
    </row>
    <row r="196">
      <c r="A196" s="14" t="inlineStr">
        <is>
          <t>JohanR@WearCheckRS.com</t>
        </is>
      </c>
      <c r="B196" s="14" t="inlineStr">
        <is>
          <t>Johan Rossouw</t>
        </is>
      </c>
      <c r="C196" s="14" t="inlineStr">
        <is>
          <t>AFS</t>
        </is>
      </c>
      <c r="D196" s="14" t="inlineStr">
        <is>
          <t>WC491</t>
        </is>
      </c>
      <c r="E196" s="14" t="inlineStr">
        <is>
          <t>Matched</t>
        </is>
      </c>
      <c r="F196" s="14" t="inlineStr">
        <is>
          <t>No</t>
        </is>
      </c>
      <c r="G196" s="14" t="inlineStr">
        <is>
          <t>Microsoft Defender for Office 365 (Plan 2)</t>
        </is>
      </c>
      <c r="H196" s="14" t="inlineStr">
        <is>
          <t>Likely billable</t>
        </is>
      </c>
      <c r="I196" s="18">
        <f>IFERROR(VLOOKUP(G196,SKU_Cost_Input!$A$2:$E$16,4,FALSE),0)</f>
        <v/>
      </c>
      <c r="J196" s="14">
        <f>IFERROR(VLOOKUP(G196,SKU_Cost_Input!$A$2:$E$16,2,FALSE),0)</f>
        <v/>
      </c>
      <c r="K196" s="18">
        <f>IF(J196=0,0,I196/J196)</f>
        <v/>
      </c>
      <c r="L196" s="18">
        <f>K196</f>
        <v/>
      </c>
      <c r="M196" s="14" t="inlineStr">
        <is>
          <t>Exact company email match</t>
        </is>
      </c>
      <c r="N196" s="14" t="inlineStr"/>
    </row>
    <row r="197">
      <c r="A197" s="14" t="inlineStr">
        <is>
          <t>JohanR@WearCheckRS.com</t>
        </is>
      </c>
      <c r="B197" s="14" t="inlineStr">
        <is>
          <t>Johan Rossouw</t>
        </is>
      </c>
      <c r="C197" s="14" t="inlineStr">
        <is>
          <t>AFS</t>
        </is>
      </c>
      <c r="D197" s="14" t="inlineStr">
        <is>
          <t>WC491</t>
        </is>
      </c>
      <c r="E197" s="14" t="inlineStr">
        <is>
          <t>Matched</t>
        </is>
      </c>
      <c r="F197" s="14" t="inlineStr">
        <is>
          <t>No</t>
        </is>
      </c>
      <c r="G197" s="14" t="inlineStr">
        <is>
          <t>Microsoft 365 Business Standard</t>
        </is>
      </c>
      <c r="H197" s="14" t="inlineStr">
        <is>
          <t>Likely billable</t>
        </is>
      </c>
      <c r="I197" s="18">
        <f>IFERROR(VLOOKUP(G197,SKU_Cost_Input!$A$2:$E$16,4,FALSE),0)</f>
        <v/>
      </c>
      <c r="J197" s="14">
        <f>IFERROR(VLOOKUP(G197,SKU_Cost_Input!$A$2:$E$16,2,FALSE),0)</f>
        <v/>
      </c>
      <c r="K197" s="18">
        <f>IF(J197=0,0,I197/J197)</f>
        <v/>
      </c>
      <c r="L197" s="18">
        <f>K197</f>
        <v/>
      </c>
      <c r="M197" s="14" t="inlineStr">
        <is>
          <t>Exact company email match</t>
        </is>
      </c>
      <c r="N197" s="14" t="inlineStr">
        <is>
          <t>Review: Business Standard — consider Business Basic if sufficient</t>
        </is>
      </c>
    </row>
    <row r="198">
      <c r="A198" s="14" t="inlineStr">
        <is>
          <t>Johan.Stols@WearCheckRS.com</t>
        </is>
      </c>
      <c r="B198" s="14" t="inlineStr">
        <is>
          <t>Johan Stols</t>
        </is>
      </c>
      <c r="C198" s="14" t="inlineStr">
        <is>
          <t>AFS</t>
        </is>
      </c>
      <c r="D198" s="14" t="inlineStr"/>
      <c r="E198" s="14" t="inlineStr">
        <is>
          <t>Confirmed</t>
        </is>
      </c>
      <c r="F198" s="14" t="inlineStr">
        <is>
          <t>No</t>
        </is>
      </c>
      <c r="G198" s="14" t="inlineStr">
        <is>
          <t>Microsoft Defender for Office 365 (Plan 2)</t>
        </is>
      </c>
      <c r="H198" s="14" t="inlineStr">
        <is>
          <t>Likely billable</t>
        </is>
      </c>
      <c r="I198" s="18">
        <f>IFERROR(VLOOKUP(G198,SKU_Cost_Input!$A$2:$E$16,4,FALSE),0)</f>
        <v/>
      </c>
      <c r="J198" s="14">
        <f>IFERROR(VLOOKUP(G198,SKU_Cost_Input!$A$2:$E$16,2,FALSE),0)</f>
        <v/>
      </c>
      <c r="K198" s="18">
        <f>IF(J198=0,0,I198/J198)</f>
        <v/>
      </c>
      <c r="L198" s="18">
        <f>K198</f>
        <v/>
      </c>
      <c r="M198" s="14" t="inlineStr">
        <is>
          <t>Confirmed match via manual alias/name rule (reviewed)</t>
        </is>
      </c>
      <c r="N198" s="14" t="inlineStr"/>
    </row>
    <row r="199">
      <c r="A199" s="14" t="inlineStr">
        <is>
          <t>Johan.Stols@WearCheckRS.com</t>
        </is>
      </c>
      <c r="B199" s="14" t="inlineStr">
        <is>
          <t>Johan Stols</t>
        </is>
      </c>
      <c r="C199" s="14" t="inlineStr">
        <is>
          <t>AFS</t>
        </is>
      </c>
      <c r="D199" s="14" t="inlineStr"/>
      <c r="E199" s="14" t="inlineStr">
        <is>
          <t>Confirmed</t>
        </is>
      </c>
      <c r="F199" s="14" t="inlineStr">
        <is>
          <t>No</t>
        </is>
      </c>
      <c r="G199" s="14" t="inlineStr">
        <is>
          <t>Microsoft Power Automate Free</t>
        </is>
      </c>
      <c r="H199" s="14" t="inlineStr">
        <is>
          <t>Likely free / trial</t>
        </is>
      </c>
      <c r="I199" s="18">
        <f>IFERROR(VLOOKUP(G199,SKU_Cost_Input!$A$2:$E$16,4,FALSE),0)</f>
        <v/>
      </c>
      <c r="J199" s="14">
        <f>IFERROR(VLOOKUP(G199,SKU_Cost_Input!$A$2:$E$16,2,FALSE),0)</f>
        <v/>
      </c>
      <c r="K199" s="18">
        <f>IF(J199=0,0,I199/J199)</f>
        <v/>
      </c>
      <c r="L199" s="18">
        <f>K199</f>
        <v/>
      </c>
      <c r="M199" s="14" t="inlineStr">
        <is>
          <t>Confirmed match via manual alias/name rule (reviewed)</t>
        </is>
      </c>
      <c r="N199" s="14" t="inlineStr"/>
    </row>
    <row r="200">
      <c r="A200" s="14" t="inlineStr">
        <is>
          <t>Johan.Stols@WearCheckRS.com</t>
        </is>
      </c>
      <c r="B200" s="14" t="inlineStr">
        <is>
          <t>Johan Stols</t>
        </is>
      </c>
      <c r="C200" s="14" t="inlineStr">
        <is>
          <t>AFS</t>
        </is>
      </c>
      <c r="D200" s="14" t="inlineStr"/>
      <c r="E200" s="14" t="inlineStr">
        <is>
          <t>Confirmed</t>
        </is>
      </c>
      <c r="F200" s="14" t="inlineStr">
        <is>
          <t>No</t>
        </is>
      </c>
      <c r="G200" s="14" t="inlineStr">
        <is>
          <t>Microsoft 365 Business Standard</t>
        </is>
      </c>
      <c r="H200" s="14" t="inlineStr">
        <is>
          <t>Likely billable</t>
        </is>
      </c>
      <c r="I200" s="18">
        <f>IFERROR(VLOOKUP(G200,SKU_Cost_Input!$A$2:$E$16,4,FALSE),0)</f>
        <v/>
      </c>
      <c r="J200" s="14">
        <f>IFERROR(VLOOKUP(G200,SKU_Cost_Input!$A$2:$E$16,2,FALSE),0)</f>
        <v/>
      </c>
      <c r="K200" s="18">
        <f>IF(J200=0,0,I200/J200)</f>
        <v/>
      </c>
      <c r="L200" s="18">
        <f>K200</f>
        <v/>
      </c>
      <c r="M200" s="14" t="inlineStr">
        <is>
          <t>Confirmed match via manual alias/name rule (reviewed)</t>
        </is>
      </c>
      <c r="N200" s="14" t="inlineStr">
        <is>
          <t>Review: Business Standard — consider Business Basic if sufficient</t>
        </is>
      </c>
    </row>
    <row r="201">
      <c r="A201" s="14" t="inlineStr">
        <is>
          <t>johandre@WearCheckRS.com</t>
        </is>
      </c>
      <c r="B201" s="14" t="inlineStr">
        <is>
          <t>Johandre Oosthuizen</t>
        </is>
      </c>
      <c r="C201" s="14" t="inlineStr">
        <is>
          <t>RS</t>
        </is>
      </c>
      <c r="D201" s="14" t="inlineStr">
        <is>
          <t>WEC089</t>
        </is>
      </c>
      <c r="E201" s="14" t="inlineStr">
        <is>
          <t>Matched</t>
        </is>
      </c>
      <c r="F201" s="14" t="inlineStr">
        <is>
          <t>No</t>
        </is>
      </c>
      <c r="G201" s="14" t="inlineStr">
        <is>
          <t>Microsoft Defender for Office 365 (Plan 2)</t>
        </is>
      </c>
      <c r="H201" s="14" t="inlineStr">
        <is>
          <t>Likely billable</t>
        </is>
      </c>
      <c r="I201" s="18">
        <f>IFERROR(VLOOKUP(G201,SKU_Cost_Input!$A$2:$E$16,4,FALSE),0)</f>
        <v/>
      </c>
      <c r="J201" s="14">
        <f>IFERROR(VLOOKUP(G201,SKU_Cost_Input!$A$2:$E$16,2,FALSE),0)</f>
        <v/>
      </c>
      <c r="K201" s="18">
        <f>IF(J201=0,0,I201/J201)</f>
        <v/>
      </c>
      <c r="L201" s="18">
        <f>K201</f>
        <v/>
      </c>
      <c r="M201" s="14" t="inlineStr">
        <is>
          <t>Exact company email match</t>
        </is>
      </c>
      <c r="N201" s="14" t="inlineStr"/>
    </row>
    <row r="202">
      <c r="A202" s="14" t="inlineStr">
        <is>
          <t>johandre@WearCheckRS.com</t>
        </is>
      </c>
      <c r="B202" s="14" t="inlineStr">
        <is>
          <t>Johandre Oosthuizen</t>
        </is>
      </c>
      <c r="C202" s="14" t="inlineStr">
        <is>
          <t>RS</t>
        </is>
      </c>
      <c r="D202" s="14" t="inlineStr">
        <is>
          <t>WEC089</t>
        </is>
      </c>
      <c r="E202" s="14" t="inlineStr">
        <is>
          <t>Matched</t>
        </is>
      </c>
      <c r="F202" s="14" t="inlineStr">
        <is>
          <t>No</t>
        </is>
      </c>
      <c r="G202" s="14" t="inlineStr">
        <is>
          <t>Microsoft 365 Business Standard</t>
        </is>
      </c>
      <c r="H202" s="14" t="inlineStr">
        <is>
          <t>Likely billable</t>
        </is>
      </c>
      <c r="I202" s="18">
        <f>IFERROR(VLOOKUP(G202,SKU_Cost_Input!$A$2:$E$16,4,FALSE),0)</f>
        <v/>
      </c>
      <c r="J202" s="14">
        <f>IFERROR(VLOOKUP(G202,SKU_Cost_Input!$A$2:$E$16,2,FALSE),0)</f>
        <v/>
      </c>
      <c r="K202" s="18">
        <f>IF(J202=0,0,I202/J202)</f>
        <v/>
      </c>
      <c r="L202" s="18">
        <f>K202</f>
        <v/>
      </c>
      <c r="M202" s="14" t="inlineStr">
        <is>
          <t>Exact company email match</t>
        </is>
      </c>
      <c r="N202" s="14" t="inlineStr">
        <is>
          <t>Review: Business Standard — consider Business Basic if sufficient</t>
        </is>
      </c>
    </row>
    <row r="203">
      <c r="A203" s="14" t="inlineStr">
        <is>
          <t>jordanlionmasters_gmail.com#EXT#@wearcheckrs.onmicrosoft.com</t>
        </is>
      </c>
      <c r="B203" s="14" t="inlineStr">
        <is>
          <t>jordanlionmasters</t>
        </is>
      </c>
      <c r="C203" s="14" t="inlineStr">
        <is>
          <t>RS</t>
        </is>
      </c>
      <c r="D203" s="14" t="n"/>
      <c r="E203" s="14" t="inlineStr">
        <is>
          <t>Mapped by rule</t>
        </is>
      </c>
      <c r="F203" s="14" t="inlineStr">
        <is>
          <t>No</t>
        </is>
      </c>
      <c r="G203" s="14" t="inlineStr">
        <is>
          <t>Microsoft Fabric (Free)</t>
        </is>
      </c>
      <c r="H203" s="14" t="inlineStr">
        <is>
          <t>Likely free / trial</t>
        </is>
      </c>
      <c r="I203" s="18">
        <f>IFERROR(VLOOKUP(G203,SKU_Cost_Input!$A$2:$E$16,4,FALSE),0)</f>
        <v/>
      </c>
      <c r="J203" s="14">
        <f>IFERROR(VLOOKUP(G203,SKU_Cost_Input!$A$2:$E$16,2,FALSE),0)</f>
        <v/>
      </c>
      <c r="K203" s="18">
        <f>IF(J203=0,0,I203/J203)</f>
        <v/>
      </c>
      <c r="L203" s="18">
        <f>K203</f>
        <v/>
      </c>
      <c r="M203" s="14" t="inlineStr">
        <is>
          <t>Generic/shared/service account defaulted to RS per instruction</t>
        </is>
      </c>
      <c r="N203" s="14" t="inlineStr"/>
    </row>
    <row r="204">
      <c r="A204" s="14" t="inlineStr">
        <is>
          <t>kenneth@WearCheckRS.com</t>
        </is>
      </c>
      <c r="B204" s="14" t="inlineStr">
        <is>
          <t>Kenneth Moremi</t>
        </is>
      </c>
      <c r="C204" s="14" t="inlineStr">
        <is>
          <t>RS</t>
        </is>
      </c>
      <c r="D204" s="14" t="inlineStr"/>
      <c r="E204" s="14" t="inlineStr">
        <is>
          <t>Ex-Employee</t>
        </is>
      </c>
      <c r="F204" s="14" t="inlineStr">
        <is>
          <t>No</t>
        </is>
      </c>
      <c r="G204" s="14" t="inlineStr">
        <is>
          <t>Microsoft Defender for Office 365 (Plan 2)</t>
        </is>
      </c>
      <c r="H204" s="14" t="inlineStr">
        <is>
          <t>Likely billable</t>
        </is>
      </c>
      <c r="I204" s="18">
        <f>IFERROR(VLOOKUP(G204,SKU_Cost_Input!$A$2:$E$16,4,FALSE),0)</f>
        <v/>
      </c>
      <c r="J204" s="14">
        <f>IFERROR(VLOOKUP(G204,SKU_Cost_Input!$A$2:$E$16,2,FALSE),0)</f>
        <v/>
      </c>
      <c r="K204" s="18">
        <f>IF(J204=0,0,I204/J204)</f>
        <v/>
      </c>
      <c r="L204" s="18">
        <f>K204</f>
        <v/>
      </c>
      <c r="M204" s="14" t="inlineStr">
        <is>
          <t>No longer an employee. FLAG: Remove licence.</t>
        </is>
      </c>
      <c r="N204" s="14" t="inlineStr"/>
    </row>
    <row r="205">
      <c r="A205" s="14" t="inlineStr">
        <is>
          <t>kenneth@WearCheckRS.com</t>
        </is>
      </c>
      <c r="B205" s="14" t="inlineStr">
        <is>
          <t>Kenneth Moremi</t>
        </is>
      </c>
      <c r="C205" s="14" t="inlineStr">
        <is>
          <t>RS</t>
        </is>
      </c>
      <c r="D205" s="14" t="inlineStr"/>
      <c r="E205" s="14" t="inlineStr">
        <is>
          <t>Ex-Employee</t>
        </is>
      </c>
      <c r="F205" s="14" t="inlineStr">
        <is>
          <t>No</t>
        </is>
      </c>
      <c r="G205" s="14" t="inlineStr">
        <is>
          <t>Microsoft 365 Business Standard</t>
        </is>
      </c>
      <c r="H205" s="14" t="inlineStr">
        <is>
          <t>Likely billable</t>
        </is>
      </c>
      <c r="I205" s="18">
        <f>IFERROR(VLOOKUP(G205,SKU_Cost_Input!$A$2:$E$16,4,FALSE),0)</f>
        <v/>
      </c>
      <c r="J205" s="14">
        <f>IFERROR(VLOOKUP(G205,SKU_Cost_Input!$A$2:$E$16,2,FALSE),0)</f>
        <v/>
      </c>
      <c r="K205" s="18">
        <f>IF(J205=0,0,I205/J205)</f>
        <v/>
      </c>
      <c r="L205" s="18">
        <f>K205</f>
        <v/>
      </c>
      <c r="M205" s="14" t="inlineStr">
        <is>
          <t>No longer an employee. FLAG: Remove licence.</t>
        </is>
      </c>
      <c r="N205" s="14" t="inlineStr">
        <is>
          <t>Review: Business Standard — consider Business Basic if sufficient</t>
        </is>
      </c>
    </row>
    <row r="206">
      <c r="A206" s="14" t="inlineStr">
        <is>
          <t>Kevin@WearCheckRS.com</t>
        </is>
      </c>
      <c r="B206" s="14" t="inlineStr">
        <is>
          <t>Kevin  Henwood</t>
        </is>
      </c>
      <c r="C206" s="14" t="inlineStr">
        <is>
          <t>RS</t>
        </is>
      </c>
      <c r="D206" s="14" t="inlineStr">
        <is>
          <t>WEC135</t>
        </is>
      </c>
      <c r="E206" s="14" t="inlineStr">
        <is>
          <t>Matched</t>
        </is>
      </c>
      <c r="F206" s="14" t="inlineStr">
        <is>
          <t>No</t>
        </is>
      </c>
      <c r="G206" s="14" t="inlineStr">
        <is>
          <t>Microsoft Defender for Office 365 (Plan 2)</t>
        </is>
      </c>
      <c r="H206" s="14" t="inlineStr">
        <is>
          <t>Likely billable</t>
        </is>
      </c>
      <c r="I206" s="18">
        <f>IFERROR(VLOOKUP(G206,SKU_Cost_Input!$A$2:$E$16,4,FALSE),0)</f>
        <v/>
      </c>
      <c r="J206" s="14">
        <f>IFERROR(VLOOKUP(G206,SKU_Cost_Input!$A$2:$E$16,2,FALSE),0)</f>
        <v/>
      </c>
      <c r="K206" s="18">
        <f>IF(J206=0,0,I206/J206)</f>
        <v/>
      </c>
      <c r="L206" s="18">
        <f>K206</f>
        <v/>
      </c>
      <c r="M206" s="14" t="inlineStr">
        <is>
          <t>Exact company email match</t>
        </is>
      </c>
      <c r="N206" s="14" t="inlineStr"/>
    </row>
    <row r="207">
      <c r="A207" s="14" t="inlineStr">
        <is>
          <t>Kevin@WearCheckRS.com</t>
        </is>
      </c>
      <c r="B207" s="14" t="inlineStr">
        <is>
          <t>Kevin  Henwood</t>
        </is>
      </c>
      <c r="C207" s="14" t="inlineStr">
        <is>
          <t>RS</t>
        </is>
      </c>
      <c r="D207" s="14" t="inlineStr">
        <is>
          <t>WEC135</t>
        </is>
      </c>
      <c r="E207" s="14" t="inlineStr">
        <is>
          <t>Matched</t>
        </is>
      </c>
      <c r="F207" s="14" t="inlineStr">
        <is>
          <t>No</t>
        </is>
      </c>
      <c r="G207" s="14" t="inlineStr">
        <is>
          <t>Microsoft 365 Business Standard</t>
        </is>
      </c>
      <c r="H207" s="14" t="inlineStr">
        <is>
          <t>Likely billable</t>
        </is>
      </c>
      <c r="I207" s="18">
        <f>IFERROR(VLOOKUP(G207,SKU_Cost_Input!$A$2:$E$16,4,FALSE),0)</f>
        <v/>
      </c>
      <c r="J207" s="14">
        <f>IFERROR(VLOOKUP(G207,SKU_Cost_Input!$A$2:$E$16,2,FALSE),0)</f>
        <v/>
      </c>
      <c r="K207" s="18">
        <f>IF(J207=0,0,I207/J207)</f>
        <v/>
      </c>
      <c r="L207" s="18">
        <f>K207</f>
        <v/>
      </c>
      <c r="M207" s="14" t="inlineStr">
        <is>
          <t>Exact company email match</t>
        </is>
      </c>
      <c r="N207" s="14" t="inlineStr">
        <is>
          <t>Review: Business Standard — consider Business Basic if sufficient</t>
        </is>
      </c>
    </row>
    <row r="208">
      <c r="A208" s="14" t="inlineStr">
        <is>
          <t>kevinj@WearCheckRS.com</t>
        </is>
      </c>
      <c r="B208" s="14" t="inlineStr">
        <is>
          <t>Kevin Jonker</t>
        </is>
      </c>
      <c r="C208" s="14" t="inlineStr">
        <is>
          <t>RS</t>
        </is>
      </c>
      <c r="D208" s="14" t="inlineStr"/>
      <c r="E208" s="14" t="inlineStr">
        <is>
          <t>Ex-Employee</t>
        </is>
      </c>
      <c r="F208" s="14" t="inlineStr">
        <is>
          <t>No</t>
        </is>
      </c>
      <c r="G208" s="14" t="inlineStr">
        <is>
          <t>Microsoft Fabric (Free)</t>
        </is>
      </c>
      <c r="H208" s="14" t="inlineStr">
        <is>
          <t>Likely free / trial</t>
        </is>
      </c>
      <c r="I208" s="18">
        <f>IFERROR(VLOOKUP(G208,SKU_Cost_Input!$A$2:$E$16,4,FALSE),0)</f>
        <v/>
      </c>
      <c r="J208" s="14">
        <f>IFERROR(VLOOKUP(G208,SKU_Cost_Input!$A$2:$E$16,2,FALSE),0)</f>
        <v/>
      </c>
      <c r="K208" s="18">
        <f>IF(J208=0,0,I208/J208)</f>
        <v/>
      </c>
      <c r="L208" s="18">
        <f>K208</f>
        <v/>
      </c>
      <c r="M208" s="14" t="inlineStr">
        <is>
          <t>No longer an employee. FLAG: Remove licence.</t>
        </is>
      </c>
      <c r="N208" s="14" t="inlineStr"/>
    </row>
    <row r="209">
      <c r="A209" s="14" t="inlineStr">
        <is>
          <t>kevinj@WearCheckRS.com</t>
        </is>
      </c>
      <c r="B209" s="14" t="inlineStr">
        <is>
          <t>Kevin Jonker</t>
        </is>
      </c>
      <c r="C209" s="14" t="inlineStr">
        <is>
          <t>RS</t>
        </is>
      </c>
      <c r="D209" s="14" t="inlineStr"/>
      <c r="E209" s="14" t="inlineStr">
        <is>
          <t>Ex-Employee</t>
        </is>
      </c>
      <c r="F209" s="14" t="inlineStr">
        <is>
          <t>No</t>
        </is>
      </c>
      <c r="G209" s="14" t="inlineStr">
        <is>
          <t>Microsoft Power Automate Free</t>
        </is>
      </c>
      <c r="H209" s="14" t="inlineStr">
        <is>
          <t>Likely free / trial</t>
        </is>
      </c>
      <c r="I209" s="18">
        <f>IFERROR(VLOOKUP(G209,SKU_Cost_Input!$A$2:$E$16,4,FALSE),0)</f>
        <v/>
      </c>
      <c r="J209" s="14">
        <f>IFERROR(VLOOKUP(G209,SKU_Cost_Input!$A$2:$E$16,2,FALSE),0)</f>
        <v/>
      </c>
      <c r="K209" s="18">
        <f>IF(J209=0,0,I209/J209)</f>
        <v/>
      </c>
      <c r="L209" s="18">
        <f>K209</f>
        <v/>
      </c>
      <c r="M209" s="14" t="inlineStr">
        <is>
          <t>No longer an employee. FLAG: Remove licence.</t>
        </is>
      </c>
      <c r="N209" s="14" t="inlineStr"/>
    </row>
    <row r="210">
      <c r="A210" s="14" t="inlineStr">
        <is>
          <t>Khotso@WearCheckRS.com</t>
        </is>
      </c>
      <c r="B210" s="14" t="inlineStr">
        <is>
          <t>Khotso Mosala</t>
        </is>
      </c>
      <c r="C210" s="14" t="inlineStr">
        <is>
          <t>AFS</t>
        </is>
      </c>
      <c r="D210" s="14" t="inlineStr">
        <is>
          <t>WC482</t>
        </is>
      </c>
      <c r="E210" s="14" t="inlineStr">
        <is>
          <t>Matched</t>
        </is>
      </c>
      <c r="F210" s="14" t="inlineStr">
        <is>
          <t>No</t>
        </is>
      </c>
      <c r="G210" s="14" t="inlineStr">
        <is>
          <t>Microsoft Defender for Office 365 (Plan 2)</t>
        </is>
      </c>
      <c r="H210" s="14" t="inlineStr">
        <is>
          <t>Likely billable</t>
        </is>
      </c>
      <c r="I210" s="18">
        <f>IFERROR(VLOOKUP(G210,SKU_Cost_Input!$A$2:$E$16,4,FALSE),0)</f>
        <v/>
      </c>
      <c r="J210" s="14">
        <f>IFERROR(VLOOKUP(G210,SKU_Cost_Input!$A$2:$E$16,2,FALSE),0)</f>
        <v/>
      </c>
      <c r="K210" s="18">
        <f>IF(J210=0,0,I210/J210)</f>
        <v/>
      </c>
      <c r="L210" s="18">
        <f>K210</f>
        <v/>
      </c>
      <c r="M210" s="14" t="inlineStr">
        <is>
          <t>Exact company email match</t>
        </is>
      </c>
      <c r="N210" s="14" t="inlineStr"/>
    </row>
    <row r="211">
      <c r="A211" s="14" t="inlineStr">
        <is>
          <t>Khotso@WearCheckRS.com</t>
        </is>
      </c>
      <c r="B211" s="14" t="inlineStr">
        <is>
          <t>Khotso Mosala</t>
        </is>
      </c>
      <c r="C211" s="14" t="inlineStr">
        <is>
          <t>AFS</t>
        </is>
      </c>
      <c r="D211" s="14" t="inlineStr">
        <is>
          <t>WC482</t>
        </is>
      </c>
      <c r="E211" s="14" t="inlineStr">
        <is>
          <t>Matched</t>
        </is>
      </c>
      <c r="F211" s="14" t="inlineStr">
        <is>
          <t>No</t>
        </is>
      </c>
      <c r="G211" s="14" t="inlineStr">
        <is>
          <t>Microsoft 365 Business Standard</t>
        </is>
      </c>
      <c r="H211" s="14" t="inlineStr">
        <is>
          <t>Likely billable</t>
        </is>
      </c>
      <c r="I211" s="18">
        <f>IFERROR(VLOOKUP(G211,SKU_Cost_Input!$A$2:$E$16,4,FALSE),0)</f>
        <v/>
      </c>
      <c r="J211" s="14">
        <f>IFERROR(VLOOKUP(G211,SKU_Cost_Input!$A$2:$E$16,2,FALSE),0)</f>
        <v/>
      </c>
      <c r="K211" s="18">
        <f>IF(J211=0,0,I211/J211)</f>
        <v/>
      </c>
      <c r="L211" s="18">
        <f>K211</f>
        <v/>
      </c>
      <c r="M211" s="14" t="inlineStr">
        <is>
          <t>Exact company email match</t>
        </is>
      </c>
      <c r="N211" s="14" t="inlineStr">
        <is>
          <t>Review: Business Standard — consider Business Basic if sufficient</t>
        </is>
      </c>
    </row>
    <row r="212">
      <c r="A212" s="14" t="inlineStr">
        <is>
          <t>Landus@WearCheckRS.com</t>
        </is>
      </c>
      <c r="B212" s="14" t="inlineStr">
        <is>
          <t>Landus Walters</t>
        </is>
      </c>
      <c r="C212" s="14" t="inlineStr">
        <is>
          <t>AFS</t>
        </is>
      </c>
      <c r="D212" s="14" t="inlineStr">
        <is>
          <t>WC509</t>
        </is>
      </c>
      <c r="E212" s="14" t="inlineStr">
        <is>
          <t>Matched</t>
        </is>
      </c>
      <c r="F212" s="14" t="inlineStr">
        <is>
          <t>No</t>
        </is>
      </c>
      <c r="G212" s="14" t="inlineStr">
        <is>
          <t>Microsoft Defender for Office 365 (Plan 2)</t>
        </is>
      </c>
      <c r="H212" s="14" t="inlineStr">
        <is>
          <t>Likely billable</t>
        </is>
      </c>
      <c r="I212" s="18">
        <f>IFERROR(VLOOKUP(G212,SKU_Cost_Input!$A$2:$E$16,4,FALSE),0)</f>
        <v/>
      </c>
      <c r="J212" s="14">
        <f>IFERROR(VLOOKUP(G212,SKU_Cost_Input!$A$2:$E$16,2,FALSE),0)</f>
        <v/>
      </c>
      <c r="K212" s="18">
        <f>IF(J212=0,0,I212/J212)</f>
        <v/>
      </c>
      <c r="L212" s="18">
        <f>K212</f>
        <v/>
      </c>
      <c r="M212" s="14" t="inlineStr">
        <is>
          <t>Exact company email match</t>
        </is>
      </c>
      <c r="N212" s="14" t="inlineStr"/>
    </row>
    <row r="213">
      <c r="A213" s="14" t="inlineStr">
        <is>
          <t>Landus@WearCheckRS.com</t>
        </is>
      </c>
      <c r="B213" s="14" t="inlineStr">
        <is>
          <t>Landus Walters</t>
        </is>
      </c>
      <c r="C213" s="14" t="inlineStr">
        <is>
          <t>AFS</t>
        </is>
      </c>
      <c r="D213" s="14" t="inlineStr">
        <is>
          <t>WC509</t>
        </is>
      </c>
      <c r="E213" s="14" t="inlineStr">
        <is>
          <t>Matched</t>
        </is>
      </c>
      <c r="F213" s="14" t="inlineStr">
        <is>
          <t>No</t>
        </is>
      </c>
      <c r="G213" s="14" t="inlineStr">
        <is>
          <t>Microsoft 365 Business Standard</t>
        </is>
      </c>
      <c r="H213" s="14" t="inlineStr">
        <is>
          <t>Likely billable</t>
        </is>
      </c>
      <c r="I213" s="18">
        <f>IFERROR(VLOOKUP(G213,SKU_Cost_Input!$A$2:$E$16,4,FALSE),0)</f>
        <v/>
      </c>
      <c r="J213" s="14">
        <f>IFERROR(VLOOKUP(G213,SKU_Cost_Input!$A$2:$E$16,2,FALSE),0)</f>
        <v/>
      </c>
      <c r="K213" s="18">
        <f>IF(J213=0,0,I213/J213)</f>
        <v/>
      </c>
      <c r="L213" s="18">
        <f>K213</f>
        <v/>
      </c>
      <c r="M213" s="14" t="inlineStr">
        <is>
          <t>Exact company email match</t>
        </is>
      </c>
      <c r="N213" s="14" t="inlineStr">
        <is>
          <t>Review: Business Standard — consider Business Basic if sufficient</t>
        </is>
      </c>
    </row>
    <row r="214">
      <c r="A214" s="14" t="inlineStr">
        <is>
          <t>Lea@WearCheckRS.com</t>
        </is>
      </c>
      <c r="B214" s="14" t="inlineStr">
        <is>
          <t>Lea Bodenstein</t>
        </is>
      </c>
      <c r="C214" s="14" t="inlineStr">
        <is>
          <t>RS</t>
        </is>
      </c>
      <c r="D214" s="14" t="inlineStr"/>
      <c r="E214" s="14" t="inlineStr">
        <is>
          <t>Contractor</t>
        </is>
      </c>
      <c r="F214" s="14" t="inlineStr">
        <is>
          <t>No</t>
        </is>
      </c>
      <c r="G214" s="14" t="inlineStr">
        <is>
          <t>Microsoft 365 Business Premium</t>
        </is>
      </c>
      <c r="H214" s="14" t="inlineStr">
        <is>
          <t>Likely billable</t>
        </is>
      </c>
      <c r="I214" s="18">
        <f>IFERROR(VLOOKUP(G214,SKU_Cost_Input!$A$2:$E$16,4,FALSE),0)</f>
        <v/>
      </c>
      <c r="J214" s="14">
        <f>IFERROR(VLOOKUP(G214,SKU_Cost_Input!$A$2:$E$16,2,FALSE),0)</f>
        <v/>
      </c>
      <c r="K214" s="18">
        <f>IF(J214=0,0,I214/J214)</f>
        <v/>
      </c>
      <c r="L214" s="18">
        <f>K214</f>
        <v/>
      </c>
      <c r="M214" s="14" t="inlineStr">
        <is>
          <t>Not an employee — contractor. Licence allocated to RS.</t>
        </is>
      </c>
      <c r="N214" s="14" t="inlineStr">
        <is>
          <t>Review: Business Premium — consider Business Basic/Standard</t>
        </is>
      </c>
    </row>
    <row r="215">
      <c r="A215" s="14" t="inlineStr">
        <is>
          <t>Lea@WearCheckRS.com</t>
        </is>
      </c>
      <c r="B215" s="14" t="inlineStr">
        <is>
          <t>Lea Bodenstein</t>
        </is>
      </c>
      <c r="C215" s="14" t="inlineStr">
        <is>
          <t>RS</t>
        </is>
      </c>
      <c r="D215" s="14" t="inlineStr"/>
      <c r="E215" s="14" t="inlineStr">
        <is>
          <t>Contractor</t>
        </is>
      </c>
      <c r="F215" s="14" t="inlineStr">
        <is>
          <t>No</t>
        </is>
      </c>
      <c r="G215" s="14" t="inlineStr">
        <is>
          <t>Microsoft Defender for Office 365 (Plan 2)</t>
        </is>
      </c>
      <c r="H215" s="14" t="inlineStr">
        <is>
          <t>Likely billable</t>
        </is>
      </c>
      <c r="I215" s="18">
        <f>IFERROR(VLOOKUP(G215,SKU_Cost_Input!$A$2:$E$16,4,FALSE),0)</f>
        <v/>
      </c>
      <c r="J215" s="14">
        <f>IFERROR(VLOOKUP(G215,SKU_Cost_Input!$A$2:$E$16,2,FALSE),0)</f>
        <v/>
      </c>
      <c r="K215" s="18">
        <f>IF(J215=0,0,I215/J215)</f>
        <v/>
      </c>
      <c r="L215" s="18">
        <f>K215</f>
        <v/>
      </c>
      <c r="M215" s="14" t="inlineStr">
        <is>
          <t>Not an employee — contractor. Licence allocated to RS.</t>
        </is>
      </c>
      <c r="N215" s="14" t="inlineStr"/>
    </row>
    <row r="216">
      <c r="A216" s="14" t="inlineStr">
        <is>
          <t>Lea@WearCheckRS.com</t>
        </is>
      </c>
      <c r="B216" s="14" t="inlineStr">
        <is>
          <t>Lea Bodenstein</t>
        </is>
      </c>
      <c r="C216" s="14" t="inlineStr">
        <is>
          <t>RS</t>
        </is>
      </c>
      <c r="D216" s="14" t="inlineStr"/>
      <c r="E216" s="14" t="inlineStr">
        <is>
          <t>Contractor</t>
        </is>
      </c>
      <c r="F216" s="14" t="inlineStr">
        <is>
          <t>No</t>
        </is>
      </c>
      <c r="G216" s="14" t="inlineStr">
        <is>
          <t>Microsoft Fabric (Free)</t>
        </is>
      </c>
      <c r="H216" s="14" t="inlineStr">
        <is>
          <t>Likely free / trial</t>
        </is>
      </c>
      <c r="I216" s="18">
        <f>IFERROR(VLOOKUP(G216,SKU_Cost_Input!$A$2:$E$16,4,FALSE),0)</f>
        <v/>
      </c>
      <c r="J216" s="14">
        <f>IFERROR(VLOOKUP(G216,SKU_Cost_Input!$A$2:$E$16,2,FALSE),0)</f>
        <v/>
      </c>
      <c r="K216" s="18">
        <f>IF(J216=0,0,I216/J216)</f>
        <v/>
      </c>
      <c r="L216" s="18">
        <f>K216</f>
        <v/>
      </c>
      <c r="M216" s="14" t="inlineStr">
        <is>
          <t>Not an employee — contractor. Licence allocated to RS.</t>
        </is>
      </c>
      <c r="N216" s="14" t="inlineStr"/>
    </row>
    <row r="217">
      <c r="A217" s="14" t="inlineStr">
        <is>
          <t>leon@WearCheckRS.com</t>
        </is>
      </c>
      <c r="B217" s="14" t="inlineStr">
        <is>
          <t>Leon Coetzee</t>
        </is>
      </c>
      <c r="C217" s="14" t="inlineStr">
        <is>
          <t>RS</t>
        </is>
      </c>
      <c r="D217" s="14" t="inlineStr">
        <is>
          <t>WC455</t>
        </is>
      </c>
      <c r="E217" s="14" t="inlineStr">
        <is>
          <t>Matched</t>
        </is>
      </c>
      <c r="F217" s="14" t="inlineStr">
        <is>
          <t>No</t>
        </is>
      </c>
      <c r="G217" s="14" t="inlineStr">
        <is>
          <t>Microsoft Defender for Office 365 (Plan 2)</t>
        </is>
      </c>
      <c r="H217" s="14" t="inlineStr">
        <is>
          <t>Likely billable</t>
        </is>
      </c>
      <c r="I217" s="18">
        <f>IFERROR(VLOOKUP(G217,SKU_Cost_Input!$A$2:$E$16,4,FALSE),0)</f>
        <v/>
      </c>
      <c r="J217" s="14">
        <f>IFERROR(VLOOKUP(G217,SKU_Cost_Input!$A$2:$E$16,2,FALSE),0)</f>
        <v/>
      </c>
      <c r="K217" s="18">
        <f>IF(J217=0,0,I217/J217)</f>
        <v/>
      </c>
      <c r="L217" s="18">
        <f>K217</f>
        <v/>
      </c>
      <c r="M217" s="14" t="inlineStr">
        <is>
          <t>Exact company email match</t>
        </is>
      </c>
      <c r="N217" s="14" t="inlineStr"/>
    </row>
    <row r="218">
      <c r="A218" s="14" t="inlineStr">
        <is>
          <t>leon@WearCheckRS.com</t>
        </is>
      </c>
      <c r="B218" s="14" t="inlineStr">
        <is>
          <t>Leon Coetzee</t>
        </is>
      </c>
      <c r="C218" s="14" t="inlineStr">
        <is>
          <t>RS</t>
        </is>
      </c>
      <c r="D218" s="14" t="inlineStr">
        <is>
          <t>WC455</t>
        </is>
      </c>
      <c r="E218" s="14" t="inlineStr">
        <is>
          <t>Matched</t>
        </is>
      </c>
      <c r="F218" s="14" t="inlineStr">
        <is>
          <t>No</t>
        </is>
      </c>
      <c r="G218" s="14" t="inlineStr">
        <is>
          <t>Microsoft Power Automate Free</t>
        </is>
      </c>
      <c r="H218" s="14" t="inlineStr">
        <is>
          <t>Likely free / trial</t>
        </is>
      </c>
      <c r="I218" s="18">
        <f>IFERROR(VLOOKUP(G218,SKU_Cost_Input!$A$2:$E$16,4,FALSE),0)</f>
        <v/>
      </c>
      <c r="J218" s="14">
        <f>IFERROR(VLOOKUP(G218,SKU_Cost_Input!$A$2:$E$16,2,FALSE),0)</f>
        <v/>
      </c>
      <c r="K218" s="18">
        <f>IF(J218=0,0,I218/J218)</f>
        <v/>
      </c>
      <c r="L218" s="18">
        <f>K218</f>
        <v/>
      </c>
      <c r="M218" s="14" t="inlineStr">
        <is>
          <t>Exact company email match</t>
        </is>
      </c>
      <c r="N218" s="14" t="inlineStr"/>
    </row>
    <row r="219">
      <c r="A219" s="14" t="inlineStr">
        <is>
          <t>leon@WearCheckRS.com</t>
        </is>
      </c>
      <c r="B219" s="14" t="inlineStr">
        <is>
          <t>Leon Coetzee</t>
        </is>
      </c>
      <c r="C219" s="14" t="inlineStr">
        <is>
          <t>RS</t>
        </is>
      </c>
      <c r="D219" s="14" t="inlineStr">
        <is>
          <t>WC455</t>
        </is>
      </c>
      <c r="E219" s="14" t="inlineStr">
        <is>
          <t>Matched</t>
        </is>
      </c>
      <c r="F219" s="14" t="inlineStr">
        <is>
          <t>No</t>
        </is>
      </c>
      <c r="G219" s="14" t="inlineStr">
        <is>
          <t>Microsoft 365 Business Standard</t>
        </is>
      </c>
      <c r="H219" s="14" t="inlineStr">
        <is>
          <t>Likely billable</t>
        </is>
      </c>
      <c r="I219" s="18">
        <f>IFERROR(VLOOKUP(G219,SKU_Cost_Input!$A$2:$E$16,4,FALSE),0)</f>
        <v/>
      </c>
      <c r="J219" s="14">
        <f>IFERROR(VLOOKUP(G219,SKU_Cost_Input!$A$2:$E$16,2,FALSE),0)</f>
        <v/>
      </c>
      <c r="K219" s="18">
        <f>IF(J219=0,0,I219/J219)</f>
        <v/>
      </c>
      <c r="L219" s="18">
        <f>K219</f>
        <v/>
      </c>
      <c r="M219" s="14" t="inlineStr">
        <is>
          <t>Exact company email match</t>
        </is>
      </c>
      <c r="N219" s="14" t="inlineStr">
        <is>
          <t>Review: Business Standard — consider Business Basic if sufficient</t>
        </is>
      </c>
    </row>
    <row r="220">
      <c r="A220" s="14" t="inlineStr">
        <is>
          <t>Lesego@WearCheckRS.com</t>
        </is>
      </c>
      <c r="B220" s="14" t="inlineStr">
        <is>
          <t>Lesego Khuthwane</t>
        </is>
      </c>
      <c r="C220" s="14" t="inlineStr">
        <is>
          <t>RS</t>
        </is>
      </c>
      <c r="D220" s="14" t="inlineStr">
        <is>
          <t>WEC126</t>
        </is>
      </c>
      <c r="E220" s="14" t="inlineStr">
        <is>
          <t>Matched</t>
        </is>
      </c>
      <c r="F220" s="14" t="inlineStr">
        <is>
          <t>No</t>
        </is>
      </c>
      <c r="G220" s="14" t="inlineStr">
        <is>
          <t>Microsoft 365 E3</t>
        </is>
      </c>
      <c r="H220" s="14" t="inlineStr">
        <is>
          <t>Likely billable</t>
        </is>
      </c>
      <c r="I220" s="18">
        <f>IFERROR(VLOOKUP(G220,SKU_Cost_Input!$A$2:$E$16,4,FALSE),0)</f>
        <v/>
      </c>
      <c r="J220" s="14">
        <f>IFERROR(VLOOKUP(G220,SKU_Cost_Input!$A$2:$E$16,2,FALSE),0)</f>
        <v/>
      </c>
      <c r="K220" s="18">
        <f>IF(J220=0,0,I220/J220)</f>
        <v/>
      </c>
      <c r="L220" s="18">
        <f>K220</f>
        <v/>
      </c>
      <c r="M220" s="14" t="inlineStr">
        <is>
          <t>Exact company email match</t>
        </is>
      </c>
      <c r="N220" s="14" t="inlineStr">
        <is>
          <t>Review: E3 may be downgradeable to E1 or Business Basic</t>
        </is>
      </c>
    </row>
    <row r="221">
      <c r="A221" s="14" t="inlineStr">
        <is>
          <t>Lesego@WearCheckRS.com</t>
        </is>
      </c>
      <c r="B221" s="14" t="inlineStr">
        <is>
          <t>Lesego Khuthwane</t>
        </is>
      </c>
      <c r="C221" s="14" t="inlineStr">
        <is>
          <t>RS</t>
        </is>
      </c>
      <c r="D221" s="14" t="inlineStr">
        <is>
          <t>WEC126</t>
        </is>
      </c>
      <c r="E221" s="14" t="inlineStr">
        <is>
          <t>Matched</t>
        </is>
      </c>
      <c r="F221" s="14" t="inlineStr">
        <is>
          <t>No</t>
        </is>
      </c>
      <c r="G221" s="14" t="inlineStr">
        <is>
          <t>Power BI Premium Per User</t>
        </is>
      </c>
      <c r="H221" s="14" t="inlineStr">
        <is>
          <t>Likely billable</t>
        </is>
      </c>
      <c r="I221" s="18">
        <f>IFERROR(VLOOKUP(G221,SKU_Cost_Input!$A$2:$E$16,4,FALSE),0)</f>
        <v/>
      </c>
      <c r="J221" s="14">
        <f>IFERROR(VLOOKUP(G221,SKU_Cost_Input!$A$2:$E$16,2,FALSE),0)</f>
        <v/>
      </c>
      <c r="K221" s="18">
        <f>IF(J221=0,0,I221/J221)</f>
        <v/>
      </c>
      <c r="L221" s="18">
        <f>K221</f>
        <v/>
      </c>
      <c r="M221" s="14" t="inlineStr">
        <is>
          <t>Exact company email match</t>
        </is>
      </c>
      <c r="N221" s="14" t="inlineStr"/>
    </row>
    <row r="222">
      <c r="A222" s="14" t="inlineStr">
        <is>
          <t>Lesego@WearCheckRS.com</t>
        </is>
      </c>
      <c r="B222" s="14" t="inlineStr">
        <is>
          <t>Lesego Khuthwane</t>
        </is>
      </c>
      <c r="C222" s="14" t="inlineStr">
        <is>
          <t>RS</t>
        </is>
      </c>
      <c r="D222" s="14" t="inlineStr">
        <is>
          <t>WEC126</t>
        </is>
      </c>
      <c r="E222" s="14" t="inlineStr">
        <is>
          <t>Matched</t>
        </is>
      </c>
      <c r="F222" s="14" t="inlineStr">
        <is>
          <t>No</t>
        </is>
      </c>
      <c r="G222" s="14" t="inlineStr">
        <is>
          <t>Microsoft Defender for Office 365 (Plan 2)</t>
        </is>
      </c>
      <c r="H222" s="14" t="inlineStr">
        <is>
          <t>Likely billable</t>
        </is>
      </c>
      <c r="I222" s="18">
        <f>IFERROR(VLOOKUP(G222,SKU_Cost_Input!$A$2:$E$16,4,FALSE),0)</f>
        <v/>
      </c>
      <c r="J222" s="14">
        <f>IFERROR(VLOOKUP(G222,SKU_Cost_Input!$A$2:$E$16,2,FALSE),0)</f>
        <v/>
      </c>
      <c r="K222" s="18">
        <f>IF(J222=0,0,I222/J222)</f>
        <v/>
      </c>
      <c r="L222" s="18">
        <f>K222</f>
        <v/>
      </c>
      <c r="M222" s="14" t="inlineStr">
        <is>
          <t>Exact company email match</t>
        </is>
      </c>
      <c r="N222" s="14" t="inlineStr"/>
    </row>
    <row r="223">
      <c r="A223" s="14" t="inlineStr">
        <is>
          <t>Lesego@WearCheckRS.com</t>
        </is>
      </c>
      <c r="B223" s="14" t="inlineStr">
        <is>
          <t>Lesego Khuthwane</t>
        </is>
      </c>
      <c r="C223" s="14" t="inlineStr">
        <is>
          <t>RS</t>
        </is>
      </c>
      <c r="D223" s="14" t="inlineStr">
        <is>
          <t>WEC126</t>
        </is>
      </c>
      <c r="E223" s="14" t="inlineStr">
        <is>
          <t>Matched</t>
        </is>
      </c>
      <c r="F223" s="14" t="inlineStr">
        <is>
          <t>No</t>
        </is>
      </c>
      <c r="G223" s="14" t="inlineStr">
        <is>
          <t>Microsoft Power Apps for Developer</t>
        </is>
      </c>
      <c r="H223" s="14" t="inlineStr">
        <is>
          <t>Likely billable</t>
        </is>
      </c>
      <c r="I223" s="18">
        <f>IFERROR(VLOOKUP(G223,SKU_Cost_Input!$A$2:$E$16,4,FALSE),0)</f>
        <v/>
      </c>
      <c r="J223" s="14">
        <f>IFERROR(VLOOKUP(G223,SKU_Cost_Input!$A$2:$E$16,2,FALSE),0)</f>
        <v/>
      </c>
      <c r="K223" s="18">
        <f>IF(J223=0,0,I223/J223)</f>
        <v/>
      </c>
      <c r="L223" s="18">
        <f>K223</f>
        <v/>
      </c>
      <c r="M223" s="14" t="inlineStr">
        <is>
          <t>Exact company email match</t>
        </is>
      </c>
      <c r="N223" s="14" t="inlineStr"/>
    </row>
    <row r="224">
      <c r="A224" s="14" t="inlineStr">
        <is>
          <t>Lesego@WearCheckRS.com</t>
        </is>
      </c>
      <c r="B224" s="14" t="inlineStr">
        <is>
          <t>Lesego Khuthwane</t>
        </is>
      </c>
      <c r="C224" s="14" t="inlineStr">
        <is>
          <t>RS</t>
        </is>
      </c>
      <c r="D224" s="14" t="inlineStr">
        <is>
          <t>WEC126</t>
        </is>
      </c>
      <c r="E224" s="14" t="inlineStr">
        <is>
          <t>Matched</t>
        </is>
      </c>
      <c r="F224" s="14" t="inlineStr">
        <is>
          <t>No</t>
        </is>
      </c>
      <c r="G224" s="14" t="inlineStr">
        <is>
          <t>Power Pages vTrial for Makers</t>
        </is>
      </c>
      <c r="H224" s="14" t="inlineStr">
        <is>
          <t>Likely free / trial</t>
        </is>
      </c>
      <c r="I224" s="18">
        <f>IFERROR(VLOOKUP(G224,SKU_Cost_Input!$A$2:$E$16,4,FALSE),0)</f>
        <v/>
      </c>
      <c r="J224" s="14">
        <f>IFERROR(VLOOKUP(G224,SKU_Cost_Input!$A$2:$E$16,2,FALSE),0)</f>
        <v/>
      </c>
      <c r="K224" s="18">
        <f>IF(J224=0,0,I224/J224)</f>
        <v/>
      </c>
      <c r="L224" s="18">
        <f>K224</f>
        <v/>
      </c>
      <c r="M224" s="14" t="inlineStr">
        <is>
          <t>Exact company email match</t>
        </is>
      </c>
      <c r="N224" s="14" t="inlineStr"/>
    </row>
    <row r="225">
      <c r="A225" s="14" t="inlineStr">
        <is>
          <t>Lesego@WearCheckRS.com</t>
        </is>
      </c>
      <c r="B225" s="14" t="inlineStr">
        <is>
          <t>Lesego Khuthwane</t>
        </is>
      </c>
      <c r="C225" s="14" t="inlineStr">
        <is>
          <t>RS</t>
        </is>
      </c>
      <c r="D225" s="14" t="inlineStr">
        <is>
          <t>WEC126</t>
        </is>
      </c>
      <c r="E225" s="14" t="inlineStr">
        <is>
          <t>Matched</t>
        </is>
      </c>
      <c r="F225" s="14" t="inlineStr">
        <is>
          <t>No</t>
        </is>
      </c>
      <c r="G225" s="14" t="inlineStr">
        <is>
          <t>Microsoft Fabric (Free)</t>
        </is>
      </c>
      <c r="H225" s="14" t="inlineStr">
        <is>
          <t>Likely free / trial</t>
        </is>
      </c>
      <c r="I225" s="18">
        <f>IFERROR(VLOOKUP(G225,SKU_Cost_Input!$A$2:$E$16,4,FALSE),0)</f>
        <v/>
      </c>
      <c r="J225" s="14">
        <f>IFERROR(VLOOKUP(G225,SKU_Cost_Input!$A$2:$E$16,2,FALSE),0)</f>
        <v/>
      </c>
      <c r="K225" s="18">
        <f>IF(J225=0,0,I225/J225)</f>
        <v/>
      </c>
      <c r="L225" s="18">
        <f>K225</f>
        <v/>
      </c>
      <c r="M225" s="14" t="inlineStr">
        <is>
          <t>Exact company email match</t>
        </is>
      </c>
      <c r="N225" s="14" t="inlineStr"/>
    </row>
    <row r="226">
      <c r="A226" s="14" t="inlineStr">
        <is>
          <t>Lesego@WearCheckRS.com</t>
        </is>
      </c>
      <c r="B226" s="14" t="inlineStr">
        <is>
          <t>Lesego Khuthwane</t>
        </is>
      </c>
      <c r="C226" s="14" t="inlineStr">
        <is>
          <t>RS</t>
        </is>
      </c>
      <c r="D226" s="14" t="inlineStr">
        <is>
          <t>WEC126</t>
        </is>
      </c>
      <c r="E226" s="14" t="inlineStr">
        <is>
          <t>Matched</t>
        </is>
      </c>
      <c r="F226" s="14" t="inlineStr">
        <is>
          <t>No</t>
        </is>
      </c>
      <c r="G226" s="14" t="inlineStr">
        <is>
          <t>Microsoft Power Apps Plan 2 Trial</t>
        </is>
      </c>
      <c r="H226" s="14" t="inlineStr">
        <is>
          <t>Likely free / trial</t>
        </is>
      </c>
      <c r="I226" s="18">
        <f>IFERROR(VLOOKUP(G226,SKU_Cost_Input!$A$2:$E$16,4,FALSE),0)</f>
        <v/>
      </c>
      <c r="J226" s="14">
        <f>IFERROR(VLOOKUP(G226,SKU_Cost_Input!$A$2:$E$16,2,FALSE),0)</f>
        <v/>
      </c>
      <c r="K226" s="18">
        <f>IF(J226=0,0,I226/J226)</f>
        <v/>
      </c>
      <c r="L226" s="18">
        <f>K226</f>
        <v/>
      </c>
      <c r="M226" s="14" t="inlineStr">
        <is>
          <t>Exact company email match</t>
        </is>
      </c>
      <c r="N226" s="14" t="inlineStr"/>
    </row>
    <row r="227">
      <c r="A227" s="14" t="inlineStr">
        <is>
          <t>Lesego@WearCheckRS.com</t>
        </is>
      </c>
      <c r="B227" s="14" t="inlineStr">
        <is>
          <t>Lesego Khuthwane</t>
        </is>
      </c>
      <c r="C227" s="14" t="inlineStr">
        <is>
          <t>RS</t>
        </is>
      </c>
      <c r="D227" s="14" t="inlineStr">
        <is>
          <t>WEC126</t>
        </is>
      </c>
      <c r="E227" s="14" t="inlineStr">
        <is>
          <t>Matched</t>
        </is>
      </c>
      <c r="F227" s="14" t="inlineStr">
        <is>
          <t>No</t>
        </is>
      </c>
      <c r="G227" s="14" t="inlineStr">
        <is>
          <t>Microsoft Copilot Studio Viral Trial</t>
        </is>
      </c>
      <c r="H227" s="14" t="inlineStr">
        <is>
          <t>Likely free / trial</t>
        </is>
      </c>
      <c r="I227" s="18">
        <f>IFERROR(VLOOKUP(G227,SKU_Cost_Input!$A$2:$E$16,4,FALSE),0)</f>
        <v/>
      </c>
      <c r="J227" s="14">
        <f>IFERROR(VLOOKUP(G227,SKU_Cost_Input!$A$2:$E$16,2,FALSE),0)</f>
        <v/>
      </c>
      <c r="K227" s="18">
        <f>IF(J227=0,0,I227/J227)</f>
        <v/>
      </c>
      <c r="L227" s="18">
        <f>K227</f>
        <v/>
      </c>
      <c r="M227" s="14" t="inlineStr">
        <is>
          <t>Exact company email match</t>
        </is>
      </c>
      <c r="N227" s="14" t="inlineStr"/>
    </row>
    <row r="228">
      <c r="A228" s="14" t="inlineStr">
        <is>
          <t>Lesego@WearCheckRS.com</t>
        </is>
      </c>
      <c r="B228" s="14" t="inlineStr">
        <is>
          <t>Lesego Khuthwane</t>
        </is>
      </c>
      <c r="C228" s="14" t="inlineStr">
        <is>
          <t>RS</t>
        </is>
      </c>
      <c r="D228" s="14" t="inlineStr">
        <is>
          <t>WEC126</t>
        </is>
      </c>
      <c r="E228" s="14" t="inlineStr">
        <is>
          <t>Matched</t>
        </is>
      </c>
      <c r="F228" s="14" t="inlineStr">
        <is>
          <t>No</t>
        </is>
      </c>
      <c r="G228" s="14" t="inlineStr">
        <is>
          <t>Microsoft Power Automate Free</t>
        </is>
      </c>
      <c r="H228" s="14" t="inlineStr">
        <is>
          <t>Likely free / trial</t>
        </is>
      </c>
      <c r="I228" s="18">
        <f>IFERROR(VLOOKUP(G228,SKU_Cost_Input!$A$2:$E$16,4,FALSE),0)</f>
        <v/>
      </c>
      <c r="J228" s="14">
        <f>IFERROR(VLOOKUP(G228,SKU_Cost_Input!$A$2:$E$16,2,FALSE),0)</f>
        <v/>
      </c>
      <c r="K228" s="18">
        <f>IF(J228=0,0,I228/J228)</f>
        <v/>
      </c>
      <c r="L228" s="18">
        <f>K228</f>
        <v/>
      </c>
      <c r="M228" s="14" t="inlineStr">
        <is>
          <t>Exact company email match</t>
        </is>
      </c>
      <c r="N228" s="14" t="inlineStr"/>
    </row>
    <row r="229">
      <c r="A229" s="14" t="inlineStr">
        <is>
          <t>Lloyd@WearCheckRS.com</t>
        </is>
      </c>
      <c r="B229" s="14" t="inlineStr">
        <is>
          <t>Lloyd Ngobeni</t>
        </is>
      </c>
      <c r="C229" s="14" t="inlineStr">
        <is>
          <t>RS</t>
        </is>
      </c>
      <c r="D229" s="14" t="inlineStr">
        <is>
          <t>WEC099</t>
        </is>
      </c>
      <c r="E229" s="14" t="inlineStr">
        <is>
          <t>Matched</t>
        </is>
      </c>
      <c r="F229" s="14" t="inlineStr">
        <is>
          <t>No</t>
        </is>
      </c>
      <c r="G229" s="14" t="inlineStr">
        <is>
          <t>Microsoft Defender for Office 365 (Plan 2)</t>
        </is>
      </c>
      <c r="H229" s="14" t="inlineStr">
        <is>
          <t>Likely billable</t>
        </is>
      </c>
      <c r="I229" s="18">
        <f>IFERROR(VLOOKUP(G229,SKU_Cost_Input!$A$2:$E$16,4,FALSE),0)</f>
        <v/>
      </c>
      <c r="J229" s="14">
        <f>IFERROR(VLOOKUP(G229,SKU_Cost_Input!$A$2:$E$16,2,FALSE),0)</f>
        <v/>
      </c>
      <c r="K229" s="18">
        <f>IF(J229=0,0,I229/J229)</f>
        <v/>
      </c>
      <c r="L229" s="18">
        <f>K229</f>
        <v/>
      </c>
      <c r="M229" s="14" t="inlineStr">
        <is>
          <t>Exact company email match</t>
        </is>
      </c>
      <c r="N229" s="14" t="inlineStr"/>
    </row>
    <row r="230">
      <c r="A230" s="14" t="inlineStr">
        <is>
          <t>Lloyd@WearCheckRS.com</t>
        </is>
      </c>
      <c r="B230" s="14" t="inlineStr">
        <is>
          <t>Lloyd Ngobeni</t>
        </is>
      </c>
      <c r="C230" s="14" t="inlineStr">
        <is>
          <t>RS</t>
        </is>
      </c>
      <c r="D230" s="14" t="inlineStr">
        <is>
          <t>WEC099</t>
        </is>
      </c>
      <c r="E230" s="14" t="inlineStr">
        <is>
          <t>Matched</t>
        </is>
      </c>
      <c r="F230" s="14" t="inlineStr">
        <is>
          <t>No</t>
        </is>
      </c>
      <c r="G230" s="14" t="inlineStr">
        <is>
          <t>Microsoft Power Automate Free</t>
        </is>
      </c>
      <c r="H230" s="14" t="inlineStr">
        <is>
          <t>Likely free / trial</t>
        </is>
      </c>
      <c r="I230" s="18">
        <f>IFERROR(VLOOKUP(G230,SKU_Cost_Input!$A$2:$E$16,4,FALSE),0)</f>
        <v/>
      </c>
      <c r="J230" s="14">
        <f>IFERROR(VLOOKUP(G230,SKU_Cost_Input!$A$2:$E$16,2,FALSE),0)</f>
        <v/>
      </c>
      <c r="K230" s="18">
        <f>IF(J230=0,0,I230/J230)</f>
        <v/>
      </c>
      <c r="L230" s="18">
        <f>K230</f>
        <v/>
      </c>
      <c r="M230" s="14" t="inlineStr">
        <is>
          <t>Exact company email match</t>
        </is>
      </c>
      <c r="N230" s="14" t="inlineStr"/>
    </row>
    <row r="231">
      <c r="A231" s="14" t="inlineStr">
        <is>
          <t>Lloyd@WearCheckRS.com</t>
        </is>
      </c>
      <c r="B231" s="14" t="inlineStr">
        <is>
          <t>Lloyd Ngobeni</t>
        </is>
      </c>
      <c r="C231" s="14" t="inlineStr">
        <is>
          <t>RS</t>
        </is>
      </c>
      <c r="D231" s="14" t="inlineStr">
        <is>
          <t>WEC099</t>
        </is>
      </c>
      <c r="E231" s="14" t="inlineStr">
        <is>
          <t>Matched</t>
        </is>
      </c>
      <c r="F231" s="14" t="inlineStr">
        <is>
          <t>No</t>
        </is>
      </c>
      <c r="G231" s="14" t="inlineStr">
        <is>
          <t>Microsoft 365 Business Standard</t>
        </is>
      </c>
      <c r="H231" s="14" t="inlineStr">
        <is>
          <t>Likely billable</t>
        </is>
      </c>
      <c r="I231" s="18">
        <f>IFERROR(VLOOKUP(G231,SKU_Cost_Input!$A$2:$E$16,4,FALSE),0)</f>
        <v/>
      </c>
      <c r="J231" s="14">
        <f>IFERROR(VLOOKUP(G231,SKU_Cost_Input!$A$2:$E$16,2,FALSE),0)</f>
        <v/>
      </c>
      <c r="K231" s="18">
        <f>IF(J231=0,0,I231/J231)</f>
        <v/>
      </c>
      <c r="L231" s="18">
        <f>K231</f>
        <v/>
      </c>
      <c r="M231" s="14" t="inlineStr">
        <is>
          <t>Exact company email match</t>
        </is>
      </c>
      <c r="N231" s="14" t="inlineStr">
        <is>
          <t>Review: Business Standard — consider Business Basic if sufficient</t>
        </is>
      </c>
    </row>
    <row r="232">
      <c r="A232" s="14" t="inlineStr">
        <is>
          <t>LondolaniM@WearCheckRS.com</t>
        </is>
      </c>
      <c r="B232" s="14" t="inlineStr">
        <is>
          <t>Londolani  Managa</t>
        </is>
      </c>
      <c r="C232" s="14" t="inlineStr">
        <is>
          <t>RS</t>
        </is>
      </c>
      <c r="D232" s="14" t="inlineStr">
        <is>
          <t>WC648</t>
        </is>
      </c>
      <c r="E232" s="14" t="inlineStr">
        <is>
          <t>Matched</t>
        </is>
      </c>
      <c r="F232" s="14" t="inlineStr">
        <is>
          <t>No</t>
        </is>
      </c>
      <c r="G232" s="14" t="inlineStr">
        <is>
          <t>Microsoft Defender for Office 365 (Plan 2)</t>
        </is>
      </c>
      <c r="H232" s="14" t="inlineStr">
        <is>
          <t>Likely billable</t>
        </is>
      </c>
      <c r="I232" s="18">
        <f>IFERROR(VLOOKUP(G232,SKU_Cost_Input!$A$2:$E$16,4,FALSE),0)</f>
        <v/>
      </c>
      <c r="J232" s="14">
        <f>IFERROR(VLOOKUP(G232,SKU_Cost_Input!$A$2:$E$16,2,FALSE),0)</f>
        <v/>
      </c>
      <c r="K232" s="18">
        <f>IF(J232=0,0,I232/J232)</f>
        <v/>
      </c>
      <c r="L232" s="18">
        <f>K232</f>
        <v/>
      </c>
      <c r="M232" s="14" t="inlineStr">
        <is>
          <t>Exact company email match</t>
        </is>
      </c>
      <c r="N232" s="14" t="inlineStr"/>
    </row>
    <row r="233">
      <c r="A233" s="14" t="inlineStr">
        <is>
          <t>LondolaniM@WearCheckRS.com</t>
        </is>
      </c>
      <c r="B233" s="14" t="inlineStr">
        <is>
          <t>Londolani  Managa</t>
        </is>
      </c>
      <c r="C233" s="14" t="inlineStr">
        <is>
          <t>RS</t>
        </is>
      </c>
      <c r="D233" s="14" t="inlineStr">
        <is>
          <t>WC648</t>
        </is>
      </c>
      <c r="E233" s="14" t="inlineStr">
        <is>
          <t>Matched</t>
        </is>
      </c>
      <c r="F233" s="14" t="inlineStr">
        <is>
          <t>No</t>
        </is>
      </c>
      <c r="G233" s="14" t="inlineStr">
        <is>
          <t>Microsoft 365 Business Standard</t>
        </is>
      </c>
      <c r="H233" s="14" t="inlineStr">
        <is>
          <t>Likely billable</t>
        </is>
      </c>
      <c r="I233" s="18">
        <f>IFERROR(VLOOKUP(G233,SKU_Cost_Input!$A$2:$E$16,4,FALSE),0)</f>
        <v/>
      </c>
      <c r="J233" s="14">
        <f>IFERROR(VLOOKUP(G233,SKU_Cost_Input!$A$2:$E$16,2,FALSE),0)</f>
        <v/>
      </c>
      <c r="K233" s="18">
        <f>IF(J233=0,0,I233/J233)</f>
        <v/>
      </c>
      <c r="L233" s="18">
        <f>K233</f>
        <v/>
      </c>
      <c r="M233" s="14" t="inlineStr">
        <is>
          <t>Exact company email match</t>
        </is>
      </c>
      <c r="N233" s="14" t="inlineStr">
        <is>
          <t>Review: Business Standard — consider Business Basic if sufficient</t>
        </is>
      </c>
    </row>
    <row r="234">
      <c r="A234" s="14" t="inlineStr">
        <is>
          <t>Lorraine@WearCheckRS.com</t>
        </is>
      </c>
      <c r="B234" s="14" t="inlineStr">
        <is>
          <t>Lorraine Mokgethi</t>
        </is>
      </c>
      <c r="C234" s="14" t="inlineStr">
        <is>
          <t>AFS</t>
        </is>
      </c>
      <c r="D234" s="14" t="inlineStr"/>
      <c r="E234" s="14" t="inlineStr">
        <is>
          <t>Confirmed</t>
        </is>
      </c>
      <c r="F234" s="14" t="inlineStr">
        <is>
          <t>No</t>
        </is>
      </c>
      <c r="G234" s="14" t="inlineStr">
        <is>
          <t>Microsoft Defender for Office 365 (Plan 2)</t>
        </is>
      </c>
      <c r="H234" s="14" t="inlineStr">
        <is>
          <t>Likely billable</t>
        </is>
      </c>
      <c r="I234" s="18">
        <f>IFERROR(VLOOKUP(G234,SKU_Cost_Input!$A$2:$E$16,4,FALSE),0)</f>
        <v/>
      </c>
      <c r="J234" s="14">
        <f>IFERROR(VLOOKUP(G234,SKU_Cost_Input!$A$2:$E$16,2,FALSE),0)</f>
        <v/>
      </c>
      <c r="K234" s="18">
        <f>IF(J234=0,0,I234/J234)</f>
        <v/>
      </c>
      <c r="L234" s="18">
        <f>K234</f>
        <v/>
      </c>
      <c r="M234" s="14" t="inlineStr">
        <is>
          <t>Confirmed: she belongs here (reviewed)</t>
        </is>
      </c>
      <c r="N234" s="14" t="inlineStr"/>
    </row>
    <row r="235">
      <c r="A235" s="14" t="inlineStr">
        <is>
          <t>Lorraine@WearCheckRS.com</t>
        </is>
      </c>
      <c r="B235" s="14" t="inlineStr">
        <is>
          <t>Lorraine Mokgethi</t>
        </is>
      </c>
      <c r="C235" s="14" t="inlineStr">
        <is>
          <t>AFS</t>
        </is>
      </c>
      <c r="D235" s="14" t="inlineStr"/>
      <c r="E235" s="14" t="inlineStr">
        <is>
          <t>Confirmed</t>
        </is>
      </c>
      <c r="F235" s="14" t="inlineStr">
        <is>
          <t>No</t>
        </is>
      </c>
      <c r="G235" s="14" t="inlineStr">
        <is>
          <t>Microsoft 365 Business Premium</t>
        </is>
      </c>
      <c r="H235" s="14" t="inlineStr">
        <is>
          <t>Likely billable</t>
        </is>
      </c>
      <c r="I235" s="18">
        <f>IFERROR(VLOOKUP(G235,SKU_Cost_Input!$A$2:$E$16,4,FALSE),0)</f>
        <v/>
      </c>
      <c r="J235" s="14">
        <f>IFERROR(VLOOKUP(G235,SKU_Cost_Input!$A$2:$E$16,2,FALSE),0)</f>
        <v/>
      </c>
      <c r="K235" s="18">
        <f>IF(J235=0,0,I235/J235)</f>
        <v/>
      </c>
      <c r="L235" s="18">
        <f>K235</f>
        <v/>
      </c>
      <c r="M235" s="14" t="inlineStr">
        <is>
          <t>Confirmed: she belongs here (reviewed)</t>
        </is>
      </c>
      <c r="N235" s="14" t="inlineStr">
        <is>
          <t>Review: Business Premium — consider Business Basic/Standard</t>
        </is>
      </c>
    </row>
    <row r="236">
      <c r="A236" s="14" t="inlineStr">
        <is>
          <t>louis@WearCheckRS.com</t>
        </is>
      </c>
      <c r="B236" s="14" t="inlineStr">
        <is>
          <t>Louis Peacock</t>
        </is>
      </c>
      <c r="C236" s="14" t="inlineStr">
        <is>
          <t>RS</t>
        </is>
      </c>
      <c r="D236" s="14" t="inlineStr">
        <is>
          <t>WC277</t>
        </is>
      </c>
      <c r="E236" s="14" t="inlineStr">
        <is>
          <t>Matched</t>
        </is>
      </c>
      <c r="F236" s="14" t="inlineStr">
        <is>
          <t>No</t>
        </is>
      </c>
      <c r="G236" s="14" t="inlineStr">
        <is>
          <t>Microsoft Defender for Office 365 (Plan 2)</t>
        </is>
      </c>
      <c r="H236" s="14" t="inlineStr">
        <is>
          <t>Likely billable</t>
        </is>
      </c>
      <c r="I236" s="18">
        <f>IFERROR(VLOOKUP(G236,SKU_Cost_Input!$A$2:$E$16,4,FALSE),0)</f>
        <v/>
      </c>
      <c r="J236" s="14">
        <f>IFERROR(VLOOKUP(G236,SKU_Cost_Input!$A$2:$E$16,2,FALSE),0)</f>
        <v/>
      </c>
      <c r="K236" s="18">
        <f>IF(J236=0,0,I236/J236)</f>
        <v/>
      </c>
      <c r="L236" s="18">
        <f>K236</f>
        <v/>
      </c>
      <c r="M236" s="14" t="inlineStr">
        <is>
          <t>Exact company email match</t>
        </is>
      </c>
      <c r="N236" s="14" t="inlineStr"/>
    </row>
    <row r="237">
      <c r="A237" s="14" t="inlineStr">
        <is>
          <t>louis@WearCheckRS.com</t>
        </is>
      </c>
      <c r="B237" s="14" t="inlineStr">
        <is>
          <t>Louis Peacock</t>
        </is>
      </c>
      <c r="C237" s="14" t="inlineStr">
        <is>
          <t>RS</t>
        </is>
      </c>
      <c r="D237" s="14" t="inlineStr">
        <is>
          <t>WC277</t>
        </is>
      </c>
      <c r="E237" s="14" t="inlineStr">
        <is>
          <t>Matched</t>
        </is>
      </c>
      <c r="F237" s="14" t="inlineStr">
        <is>
          <t>No</t>
        </is>
      </c>
      <c r="G237" s="14" t="inlineStr">
        <is>
          <t>Power BI Premium Per User</t>
        </is>
      </c>
      <c r="H237" s="14" t="inlineStr">
        <is>
          <t>Likely billable</t>
        </is>
      </c>
      <c r="I237" s="18">
        <f>IFERROR(VLOOKUP(G237,SKU_Cost_Input!$A$2:$E$16,4,FALSE),0)</f>
        <v/>
      </c>
      <c r="J237" s="14">
        <f>IFERROR(VLOOKUP(G237,SKU_Cost_Input!$A$2:$E$16,2,FALSE),0)</f>
        <v/>
      </c>
      <c r="K237" s="18">
        <f>IF(J237=0,0,I237/J237)</f>
        <v/>
      </c>
      <c r="L237" s="18">
        <f>K237</f>
        <v/>
      </c>
      <c r="M237" s="14" t="inlineStr">
        <is>
          <t>Exact company email match</t>
        </is>
      </c>
      <c r="N237" s="14" t="inlineStr"/>
    </row>
    <row r="238">
      <c r="A238" s="14" t="inlineStr">
        <is>
          <t>louis@WearCheckRS.com</t>
        </is>
      </c>
      <c r="B238" s="14" t="inlineStr">
        <is>
          <t>Louis Peacock</t>
        </is>
      </c>
      <c r="C238" s="14" t="inlineStr">
        <is>
          <t>RS</t>
        </is>
      </c>
      <c r="D238" s="14" t="inlineStr">
        <is>
          <t>WC277</t>
        </is>
      </c>
      <c r="E238" s="14" t="inlineStr">
        <is>
          <t>Matched</t>
        </is>
      </c>
      <c r="F238" s="14" t="inlineStr">
        <is>
          <t>No</t>
        </is>
      </c>
      <c r="G238" s="14" t="inlineStr">
        <is>
          <t>Microsoft 365 E3</t>
        </is>
      </c>
      <c r="H238" s="14" t="inlineStr">
        <is>
          <t>Likely billable</t>
        </is>
      </c>
      <c r="I238" s="18">
        <f>IFERROR(VLOOKUP(G238,SKU_Cost_Input!$A$2:$E$16,4,FALSE),0)</f>
        <v/>
      </c>
      <c r="J238" s="14">
        <f>IFERROR(VLOOKUP(G238,SKU_Cost_Input!$A$2:$E$16,2,FALSE),0)</f>
        <v/>
      </c>
      <c r="K238" s="18">
        <f>IF(J238=0,0,I238/J238)</f>
        <v/>
      </c>
      <c r="L238" s="18">
        <f>K238</f>
        <v/>
      </c>
      <c r="M238" s="14" t="inlineStr">
        <is>
          <t>Exact company email match</t>
        </is>
      </c>
      <c r="N238" s="14" t="inlineStr">
        <is>
          <t>Review: E3 may be downgradeable to E1 or Business Basic</t>
        </is>
      </c>
    </row>
    <row r="239">
      <c r="A239" s="14" t="inlineStr">
        <is>
          <t>louis@WearCheckRS.com</t>
        </is>
      </c>
      <c r="B239" s="14" t="inlineStr">
        <is>
          <t>Louis Peacock</t>
        </is>
      </c>
      <c r="C239" s="14" t="inlineStr">
        <is>
          <t>RS</t>
        </is>
      </c>
      <c r="D239" s="14" t="inlineStr">
        <is>
          <t>WC277</t>
        </is>
      </c>
      <c r="E239" s="14" t="inlineStr">
        <is>
          <t>Matched</t>
        </is>
      </c>
      <c r="F239" s="14" t="inlineStr">
        <is>
          <t>No</t>
        </is>
      </c>
      <c r="G239" s="14" t="inlineStr">
        <is>
          <t>Microsoft Power Automate Free</t>
        </is>
      </c>
      <c r="H239" s="14" t="inlineStr">
        <is>
          <t>Likely free / trial</t>
        </is>
      </c>
      <c r="I239" s="18">
        <f>IFERROR(VLOOKUP(G239,SKU_Cost_Input!$A$2:$E$16,4,FALSE),0)</f>
        <v/>
      </c>
      <c r="J239" s="14">
        <f>IFERROR(VLOOKUP(G239,SKU_Cost_Input!$A$2:$E$16,2,FALSE),0)</f>
        <v/>
      </c>
      <c r="K239" s="18">
        <f>IF(J239=0,0,I239/J239)</f>
        <v/>
      </c>
      <c r="L239" s="18">
        <f>K239</f>
        <v/>
      </c>
      <c r="M239" s="14" t="inlineStr">
        <is>
          <t>Exact company email match</t>
        </is>
      </c>
      <c r="N239" s="14" t="inlineStr"/>
    </row>
    <row r="240">
      <c r="A240" s="14" t="inlineStr">
        <is>
          <t>Louis_Zoho@WearCheckRS.com</t>
        </is>
      </c>
      <c r="B240" s="14" t="inlineStr">
        <is>
          <t>Louis Zoho</t>
        </is>
      </c>
      <c r="C240" s="14" t="inlineStr">
        <is>
          <t>RS</t>
        </is>
      </c>
      <c r="D240" s="14" t="inlineStr">
        <is>
          <t>WC277</t>
        </is>
      </c>
      <c r="E240" s="14" t="inlineStr">
        <is>
          <t>Matched</t>
        </is>
      </c>
      <c r="F240" s="14" t="inlineStr">
        <is>
          <t>No</t>
        </is>
      </c>
      <c r="G240" s="14" t="inlineStr">
        <is>
          <t>Microsoft 365 Business Standard</t>
        </is>
      </c>
      <c r="H240" s="14" t="inlineStr">
        <is>
          <t>Likely billable</t>
        </is>
      </c>
      <c r="I240" s="18">
        <f>IFERROR(VLOOKUP(G240,SKU_Cost_Input!$A$2:$E$16,4,FALSE),0)</f>
        <v/>
      </c>
      <c r="J240" s="14">
        <f>IFERROR(VLOOKUP(G240,SKU_Cost_Input!$A$2:$E$16,2,FALSE),0)</f>
        <v/>
      </c>
      <c r="K240" s="18">
        <f>IF(J240=0,0,I240/J240)</f>
        <v/>
      </c>
      <c r="L240" s="18">
        <f>K240</f>
        <v/>
      </c>
      <c r="M240" s="14" t="inlineStr">
        <is>
          <t>Matched via email alias/local-part</t>
        </is>
      </c>
      <c r="N240" s="14" t="inlineStr">
        <is>
          <t>Review: Business Standard — consider Business Basic if sufficient</t>
        </is>
      </c>
    </row>
    <row r="241">
      <c r="A241" s="14" t="inlineStr">
        <is>
          <t>lubby@WearCheckRS.com</t>
        </is>
      </c>
      <c r="B241" s="14" t="inlineStr">
        <is>
          <t>Lubby Lubis</t>
        </is>
      </c>
      <c r="C241" s="14" t="inlineStr">
        <is>
          <t>RS</t>
        </is>
      </c>
      <c r="D241" s="14" t="inlineStr">
        <is>
          <t>WEC118</t>
        </is>
      </c>
      <c r="E241" s="14" t="inlineStr">
        <is>
          <t>Matched</t>
        </is>
      </c>
      <c r="F241" s="14" t="inlineStr">
        <is>
          <t>No</t>
        </is>
      </c>
      <c r="G241" s="14" t="inlineStr">
        <is>
          <t>Microsoft Defender for Office 365 (Plan 2)</t>
        </is>
      </c>
      <c r="H241" s="14" t="inlineStr">
        <is>
          <t>Likely billable</t>
        </is>
      </c>
      <c r="I241" s="18">
        <f>IFERROR(VLOOKUP(G241,SKU_Cost_Input!$A$2:$E$16,4,FALSE),0)</f>
        <v/>
      </c>
      <c r="J241" s="14">
        <f>IFERROR(VLOOKUP(G241,SKU_Cost_Input!$A$2:$E$16,2,FALSE),0)</f>
        <v/>
      </c>
      <c r="K241" s="18">
        <f>IF(J241=0,0,I241/J241)</f>
        <v/>
      </c>
      <c r="L241" s="18">
        <f>K241</f>
        <v/>
      </c>
      <c r="M241" s="14" t="inlineStr">
        <is>
          <t>Exact company email match</t>
        </is>
      </c>
      <c r="N241" s="14" t="inlineStr"/>
    </row>
    <row r="242">
      <c r="A242" s="14" t="inlineStr">
        <is>
          <t>lubby@WearCheckRS.com</t>
        </is>
      </c>
      <c r="B242" s="14" t="inlineStr">
        <is>
          <t>Lubby Lubis</t>
        </is>
      </c>
      <c r="C242" s="14" t="inlineStr">
        <is>
          <t>RS</t>
        </is>
      </c>
      <c r="D242" s="14" t="inlineStr">
        <is>
          <t>WEC118</t>
        </is>
      </c>
      <c r="E242" s="14" t="inlineStr">
        <is>
          <t>Matched</t>
        </is>
      </c>
      <c r="F242" s="14" t="inlineStr">
        <is>
          <t>No</t>
        </is>
      </c>
      <c r="G242" s="14" t="inlineStr">
        <is>
          <t>Microsoft 365 Business Standard</t>
        </is>
      </c>
      <c r="H242" s="14" t="inlineStr">
        <is>
          <t>Likely billable</t>
        </is>
      </c>
      <c r="I242" s="18">
        <f>IFERROR(VLOOKUP(G242,SKU_Cost_Input!$A$2:$E$16,4,FALSE),0)</f>
        <v/>
      </c>
      <c r="J242" s="14">
        <f>IFERROR(VLOOKUP(G242,SKU_Cost_Input!$A$2:$E$16,2,FALSE),0)</f>
        <v/>
      </c>
      <c r="K242" s="18">
        <f>IF(J242=0,0,I242/J242)</f>
        <v/>
      </c>
      <c r="L242" s="18">
        <f>K242</f>
        <v/>
      </c>
      <c r="M242" s="14" t="inlineStr">
        <is>
          <t>Exact company email match</t>
        </is>
      </c>
      <c r="N242" s="14" t="inlineStr">
        <is>
          <t>Review: Business Standard — consider Business Basic if sufficient</t>
        </is>
      </c>
    </row>
    <row r="243">
      <c r="A243" s="14" t="inlineStr">
        <is>
          <t>lucas@WearCheckRS.com</t>
        </is>
      </c>
      <c r="B243" s="14" t="inlineStr">
        <is>
          <t>Lucas Luus</t>
        </is>
      </c>
      <c r="C243" s="14" t="inlineStr">
        <is>
          <t>RS</t>
        </is>
      </c>
      <c r="D243" s="14" t="inlineStr">
        <is>
          <t>WEC068</t>
        </is>
      </c>
      <c r="E243" s="14" t="inlineStr">
        <is>
          <t>Matched</t>
        </is>
      </c>
      <c r="F243" s="14" t="inlineStr">
        <is>
          <t>No</t>
        </is>
      </c>
      <c r="G243" s="14" t="inlineStr">
        <is>
          <t>Microsoft Defender for Office 365 (Plan 2)</t>
        </is>
      </c>
      <c r="H243" s="14" t="inlineStr">
        <is>
          <t>Likely billable</t>
        </is>
      </c>
      <c r="I243" s="18">
        <f>IFERROR(VLOOKUP(G243,SKU_Cost_Input!$A$2:$E$16,4,FALSE),0)</f>
        <v/>
      </c>
      <c r="J243" s="14">
        <f>IFERROR(VLOOKUP(G243,SKU_Cost_Input!$A$2:$E$16,2,FALSE),0)</f>
        <v/>
      </c>
      <c r="K243" s="18">
        <f>IF(J243=0,0,I243/J243)</f>
        <v/>
      </c>
      <c r="L243" s="18">
        <f>K243</f>
        <v/>
      </c>
      <c r="M243" s="14" t="inlineStr">
        <is>
          <t>Exact company email match</t>
        </is>
      </c>
      <c r="N243" s="14" t="inlineStr"/>
    </row>
    <row r="244">
      <c r="A244" s="14" t="inlineStr">
        <is>
          <t>lucas@WearCheckRS.com</t>
        </is>
      </c>
      <c r="B244" s="14" t="inlineStr">
        <is>
          <t>Lucas Luus</t>
        </is>
      </c>
      <c r="C244" s="14" t="inlineStr">
        <is>
          <t>RS</t>
        </is>
      </c>
      <c r="D244" s="14" t="inlineStr">
        <is>
          <t>WEC068</t>
        </is>
      </c>
      <c r="E244" s="14" t="inlineStr">
        <is>
          <t>Matched</t>
        </is>
      </c>
      <c r="F244" s="14" t="inlineStr">
        <is>
          <t>No</t>
        </is>
      </c>
      <c r="G244" s="14" t="inlineStr">
        <is>
          <t>Microsoft 365 Business Standard</t>
        </is>
      </c>
      <c r="H244" s="14" t="inlineStr">
        <is>
          <t>Likely billable</t>
        </is>
      </c>
      <c r="I244" s="18">
        <f>IFERROR(VLOOKUP(G244,SKU_Cost_Input!$A$2:$E$16,4,FALSE),0)</f>
        <v/>
      </c>
      <c r="J244" s="14">
        <f>IFERROR(VLOOKUP(G244,SKU_Cost_Input!$A$2:$E$16,2,FALSE),0)</f>
        <v/>
      </c>
      <c r="K244" s="18">
        <f>IF(J244=0,0,I244/J244)</f>
        <v/>
      </c>
      <c r="L244" s="18">
        <f>K244</f>
        <v/>
      </c>
      <c r="M244" s="14" t="inlineStr">
        <is>
          <t>Exact company email match</t>
        </is>
      </c>
      <c r="N244" s="14" t="inlineStr">
        <is>
          <t>Review: Business Standard — consider Business Basic if sufficient</t>
        </is>
      </c>
    </row>
    <row r="245">
      <c r="A245" s="14" t="inlineStr">
        <is>
          <t>Mande@WearCheckRS.com</t>
        </is>
      </c>
      <c r="B245" s="14" t="inlineStr">
        <is>
          <t>Mandé Coetzee</t>
        </is>
      </c>
      <c r="C245" s="14" t="inlineStr">
        <is>
          <t>RS</t>
        </is>
      </c>
      <c r="D245" s="14" t="inlineStr">
        <is>
          <t>WEC116</t>
        </is>
      </c>
      <c r="E245" s="14" t="inlineStr">
        <is>
          <t>Matched</t>
        </is>
      </c>
      <c r="F245" s="14" t="inlineStr">
        <is>
          <t>No</t>
        </is>
      </c>
      <c r="G245" s="14" t="inlineStr">
        <is>
          <t>Microsoft Defender for Office 365 (Plan 2)</t>
        </is>
      </c>
      <c r="H245" s="14" t="inlineStr">
        <is>
          <t>Likely billable</t>
        </is>
      </c>
      <c r="I245" s="18">
        <f>IFERROR(VLOOKUP(G245,SKU_Cost_Input!$A$2:$E$16,4,FALSE),0)</f>
        <v/>
      </c>
      <c r="J245" s="14">
        <f>IFERROR(VLOOKUP(G245,SKU_Cost_Input!$A$2:$E$16,2,FALSE),0)</f>
        <v/>
      </c>
      <c r="K245" s="18">
        <f>IF(J245=0,0,I245/J245)</f>
        <v/>
      </c>
      <c r="L245" s="18">
        <f>K245</f>
        <v/>
      </c>
      <c r="M245" s="14" t="inlineStr">
        <is>
          <t>Exact company email match</t>
        </is>
      </c>
      <c r="N245" s="14" t="inlineStr"/>
    </row>
    <row r="246">
      <c r="A246" s="14" t="inlineStr">
        <is>
          <t>Mande@WearCheckRS.com</t>
        </is>
      </c>
      <c r="B246" s="14" t="inlineStr">
        <is>
          <t>Mandé Coetzee</t>
        </is>
      </c>
      <c r="C246" s="14" t="inlineStr">
        <is>
          <t>RS</t>
        </is>
      </c>
      <c r="D246" s="14" t="inlineStr">
        <is>
          <t>WEC116</t>
        </is>
      </c>
      <c r="E246" s="14" t="inlineStr">
        <is>
          <t>Matched</t>
        </is>
      </c>
      <c r="F246" s="14" t="inlineStr">
        <is>
          <t>No</t>
        </is>
      </c>
      <c r="G246" s="14" t="inlineStr">
        <is>
          <t>Microsoft Fabric (Free)</t>
        </is>
      </c>
      <c r="H246" s="14" t="inlineStr">
        <is>
          <t>Likely free / trial</t>
        </is>
      </c>
      <c r="I246" s="18">
        <f>IFERROR(VLOOKUP(G246,SKU_Cost_Input!$A$2:$E$16,4,FALSE),0)</f>
        <v/>
      </c>
      <c r="J246" s="14">
        <f>IFERROR(VLOOKUP(G246,SKU_Cost_Input!$A$2:$E$16,2,FALSE),0)</f>
        <v/>
      </c>
      <c r="K246" s="18">
        <f>IF(J246=0,0,I246/J246)</f>
        <v/>
      </c>
      <c r="L246" s="18">
        <f>K246</f>
        <v/>
      </c>
      <c r="M246" s="14" t="inlineStr">
        <is>
          <t>Exact company email match</t>
        </is>
      </c>
      <c r="N246" s="14" t="inlineStr"/>
    </row>
    <row r="247">
      <c r="A247" s="14" t="inlineStr">
        <is>
          <t>Mande@WearCheckRS.com</t>
        </is>
      </c>
      <c r="B247" s="14" t="inlineStr">
        <is>
          <t>Mandé Coetzee</t>
        </is>
      </c>
      <c r="C247" s="14" t="inlineStr">
        <is>
          <t>RS</t>
        </is>
      </c>
      <c r="D247" s="14" t="inlineStr">
        <is>
          <t>WEC116</t>
        </is>
      </c>
      <c r="E247" s="14" t="inlineStr">
        <is>
          <t>Matched</t>
        </is>
      </c>
      <c r="F247" s="14" t="inlineStr">
        <is>
          <t>No</t>
        </is>
      </c>
      <c r="G247" s="14" t="inlineStr">
        <is>
          <t>Microsoft Power Automate Free</t>
        </is>
      </c>
      <c r="H247" s="14" t="inlineStr">
        <is>
          <t>Likely free / trial</t>
        </is>
      </c>
      <c r="I247" s="18">
        <f>IFERROR(VLOOKUP(G247,SKU_Cost_Input!$A$2:$E$16,4,FALSE),0)</f>
        <v/>
      </c>
      <c r="J247" s="14">
        <f>IFERROR(VLOOKUP(G247,SKU_Cost_Input!$A$2:$E$16,2,FALSE),0)</f>
        <v/>
      </c>
      <c r="K247" s="18">
        <f>IF(J247=0,0,I247/J247)</f>
        <v/>
      </c>
      <c r="L247" s="18">
        <f>K247</f>
        <v/>
      </c>
      <c r="M247" s="14" t="inlineStr">
        <is>
          <t>Exact company email match</t>
        </is>
      </c>
      <c r="N247" s="14" t="inlineStr"/>
    </row>
    <row r="248">
      <c r="A248" s="14" t="inlineStr">
        <is>
          <t>Mande@WearCheckRS.com</t>
        </is>
      </c>
      <c r="B248" s="14" t="inlineStr">
        <is>
          <t>Mandé Coetzee</t>
        </is>
      </c>
      <c r="C248" s="14" t="inlineStr">
        <is>
          <t>RS</t>
        </is>
      </c>
      <c r="D248" s="14" t="inlineStr">
        <is>
          <t>WEC116</t>
        </is>
      </c>
      <c r="E248" s="14" t="inlineStr">
        <is>
          <t>Matched</t>
        </is>
      </c>
      <c r="F248" s="14" t="inlineStr">
        <is>
          <t>No</t>
        </is>
      </c>
      <c r="G248" s="14" t="inlineStr">
        <is>
          <t>Microsoft 365 E3</t>
        </is>
      </c>
      <c r="H248" s="14" t="inlineStr">
        <is>
          <t>Likely billable</t>
        </is>
      </c>
      <c r="I248" s="18">
        <f>IFERROR(VLOOKUP(G248,SKU_Cost_Input!$A$2:$E$16,4,FALSE),0)</f>
        <v/>
      </c>
      <c r="J248" s="14">
        <f>IFERROR(VLOOKUP(G248,SKU_Cost_Input!$A$2:$E$16,2,FALSE),0)</f>
        <v/>
      </c>
      <c r="K248" s="18">
        <f>IF(J248=0,0,I248/J248)</f>
        <v/>
      </c>
      <c r="L248" s="18">
        <f>K248</f>
        <v/>
      </c>
      <c r="M248" s="14" t="inlineStr">
        <is>
          <t>Exact company email match</t>
        </is>
      </c>
      <c r="N248" s="14" t="inlineStr">
        <is>
          <t>Review: E3 may be downgradeable to E1 or Business Basic</t>
        </is>
      </c>
    </row>
    <row r="249">
      <c r="A249" s="14" t="inlineStr">
        <is>
          <t>Mandiso@WearCheckRS.com</t>
        </is>
      </c>
      <c r="B249" s="14" t="inlineStr">
        <is>
          <t>Mandiso Muchanga</t>
        </is>
      </c>
      <c r="C249" s="14" t="inlineStr">
        <is>
          <t>RS</t>
        </is>
      </c>
      <c r="D249" s="14" t="inlineStr"/>
      <c r="E249" s="14" t="inlineStr">
        <is>
          <t>Ex-Employee</t>
        </is>
      </c>
      <c r="F249" s="14" t="inlineStr">
        <is>
          <t>No</t>
        </is>
      </c>
      <c r="G249" s="14" t="inlineStr">
        <is>
          <t>Microsoft Defender for Office 365 (Plan 2)</t>
        </is>
      </c>
      <c r="H249" s="14" t="inlineStr">
        <is>
          <t>Likely billable</t>
        </is>
      </c>
      <c r="I249" s="18">
        <f>IFERROR(VLOOKUP(G249,SKU_Cost_Input!$A$2:$E$16,4,FALSE),0)</f>
        <v/>
      </c>
      <c r="J249" s="14">
        <f>IFERROR(VLOOKUP(G249,SKU_Cost_Input!$A$2:$E$16,2,FALSE),0)</f>
        <v/>
      </c>
      <c r="K249" s="18">
        <f>IF(J249=0,0,I249/J249)</f>
        <v/>
      </c>
      <c r="L249" s="18">
        <f>K249</f>
        <v/>
      </c>
      <c r="M249" s="14" t="inlineStr">
        <is>
          <t>No longer an employee. FLAG: Remove licence.</t>
        </is>
      </c>
      <c r="N249" s="14" t="inlineStr"/>
    </row>
    <row r="250">
      <c r="A250" s="14" t="inlineStr">
        <is>
          <t>Mandiso@WearCheckRS.com</t>
        </is>
      </c>
      <c r="B250" s="14" t="inlineStr">
        <is>
          <t>Mandiso Muchanga</t>
        </is>
      </c>
      <c r="C250" s="14" t="inlineStr">
        <is>
          <t>RS</t>
        </is>
      </c>
      <c r="D250" s="14" t="inlineStr"/>
      <c r="E250" s="14" t="inlineStr">
        <is>
          <t>Ex-Employee</t>
        </is>
      </c>
      <c r="F250" s="14" t="inlineStr">
        <is>
          <t>No</t>
        </is>
      </c>
      <c r="G250" s="14" t="inlineStr">
        <is>
          <t>Microsoft 365 Business Standard</t>
        </is>
      </c>
      <c r="H250" s="14" t="inlineStr">
        <is>
          <t>Likely billable</t>
        </is>
      </c>
      <c r="I250" s="18">
        <f>IFERROR(VLOOKUP(G250,SKU_Cost_Input!$A$2:$E$16,4,FALSE),0)</f>
        <v/>
      </c>
      <c r="J250" s="14">
        <f>IFERROR(VLOOKUP(G250,SKU_Cost_Input!$A$2:$E$16,2,FALSE),0)</f>
        <v/>
      </c>
      <c r="K250" s="18">
        <f>IF(J250=0,0,I250/J250)</f>
        <v/>
      </c>
      <c r="L250" s="18">
        <f>K250</f>
        <v/>
      </c>
      <c r="M250" s="14" t="inlineStr">
        <is>
          <t>No longer an employee. FLAG: Remove licence.</t>
        </is>
      </c>
      <c r="N250" s="14" t="inlineStr">
        <is>
          <t>Review: Business Standard — consider Business Basic if sufficient</t>
        </is>
      </c>
    </row>
    <row r="251">
      <c r="A251" s="14" t="inlineStr">
        <is>
          <t>Marcel@WearCheckRS.com</t>
        </is>
      </c>
      <c r="B251" s="14" t="inlineStr">
        <is>
          <t>Marcel Schoeman</t>
        </is>
      </c>
      <c r="C251" s="14" t="inlineStr">
        <is>
          <t>RS</t>
        </is>
      </c>
      <c r="D251" s="14" t="inlineStr">
        <is>
          <t>WEC102</t>
        </is>
      </c>
      <c r="E251" s="14" t="inlineStr">
        <is>
          <t>Matched</t>
        </is>
      </c>
      <c r="F251" s="14" t="inlineStr">
        <is>
          <t>No</t>
        </is>
      </c>
      <c r="G251" s="14" t="inlineStr">
        <is>
          <t>Microsoft 365 Business Premium</t>
        </is>
      </c>
      <c r="H251" s="14" t="inlineStr">
        <is>
          <t>Likely billable</t>
        </is>
      </c>
      <c r="I251" s="18">
        <f>IFERROR(VLOOKUP(G251,SKU_Cost_Input!$A$2:$E$16,4,FALSE),0)</f>
        <v/>
      </c>
      <c r="J251" s="14">
        <f>IFERROR(VLOOKUP(G251,SKU_Cost_Input!$A$2:$E$16,2,FALSE),0)</f>
        <v/>
      </c>
      <c r="K251" s="18">
        <f>IF(J251=0,0,I251/J251)</f>
        <v/>
      </c>
      <c r="L251" s="18">
        <f>K251</f>
        <v/>
      </c>
      <c r="M251" s="14" t="inlineStr">
        <is>
          <t>Exact company email match</t>
        </is>
      </c>
      <c r="N251" s="14" t="inlineStr">
        <is>
          <t>Review: Business Premium — consider Business Basic/Standard</t>
        </is>
      </c>
    </row>
    <row r="252">
      <c r="A252" s="14" t="inlineStr">
        <is>
          <t>Marcel@WearCheckRS.com</t>
        </is>
      </c>
      <c r="B252" s="14" t="inlineStr">
        <is>
          <t>Marcel Schoeman</t>
        </is>
      </c>
      <c r="C252" s="14" t="inlineStr">
        <is>
          <t>RS</t>
        </is>
      </c>
      <c r="D252" s="14" t="inlineStr">
        <is>
          <t>WEC102</t>
        </is>
      </c>
      <c r="E252" s="14" t="inlineStr">
        <is>
          <t>Matched</t>
        </is>
      </c>
      <c r="F252" s="14" t="inlineStr">
        <is>
          <t>No</t>
        </is>
      </c>
      <c r="G252" s="14" t="inlineStr">
        <is>
          <t>Microsoft Defender for Office 365 (Plan 2)</t>
        </is>
      </c>
      <c r="H252" s="14" t="inlineStr">
        <is>
          <t>Likely billable</t>
        </is>
      </c>
      <c r="I252" s="18">
        <f>IFERROR(VLOOKUP(G252,SKU_Cost_Input!$A$2:$E$16,4,FALSE),0)</f>
        <v/>
      </c>
      <c r="J252" s="14">
        <f>IFERROR(VLOOKUP(G252,SKU_Cost_Input!$A$2:$E$16,2,FALSE),0)</f>
        <v/>
      </c>
      <c r="K252" s="18">
        <f>IF(J252=0,0,I252/J252)</f>
        <v/>
      </c>
      <c r="L252" s="18">
        <f>K252</f>
        <v/>
      </c>
      <c r="M252" s="14" t="inlineStr">
        <is>
          <t>Exact company email match</t>
        </is>
      </c>
      <c r="N252" s="14" t="inlineStr"/>
    </row>
    <row r="253">
      <c r="A253" s="14" t="inlineStr">
        <is>
          <t>Marcel@WearCheckRS.com</t>
        </is>
      </c>
      <c r="B253" s="14" t="inlineStr">
        <is>
          <t>Marcel Schoeman</t>
        </is>
      </c>
      <c r="C253" s="14" t="inlineStr">
        <is>
          <t>RS</t>
        </is>
      </c>
      <c r="D253" s="14" t="inlineStr">
        <is>
          <t>WEC102</t>
        </is>
      </c>
      <c r="E253" s="14" t="inlineStr">
        <is>
          <t>Matched</t>
        </is>
      </c>
      <c r="F253" s="14" t="inlineStr">
        <is>
          <t>No</t>
        </is>
      </c>
      <c r="G253" s="14" t="inlineStr">
        <is>
          <t>Microsoft Fabric (Free)</t>
        </is>
      </c>
      <c r="H253" s="14" t="inlineStr">
        <is>
          <t>Likely free / trial</t>
        </is>
      </c>
      <c r="I253" s="18">
        <f>IFERROR(VLOOKUP(G253,SKU_Cost_Input!$A$2:$E$16,4,FALSE),0)</f>
        <v/>
      </c>
      <c r="J253" s="14">
        <f>IFERROR(VLOOKUP(G253,SKU_Cost_Input!$A$2:$E$16,2,FALSE),0)</f>
        <v/>
      </c>
      <c r="K253" s="18">
        <f>IF(J253=0,0,I253/J253)</f>
        <v/>
      </c>
      <c r="L253" s="18">
        <f>K253</f>
        <v/>
      </c>
      <c r="M253" s="14" t="inlineStr">
        <is>
          <t>Exact company email match</t>
        </is>
      </c>
      <c r="N253" s="14" t="inlineStr"/>
    </row>
    <row r="254">
      <c r="A254" s="14" t="inlineStr">
        <is>
          <t>mariette@WearCheckRS.com</t>
        </is>
      </c>
      <c r="B254" s="14" t="inlineStr">
        <is>
          <t>Mariette Du Rand</t>
        </is>
      </c>
      <c r="C254" s="14" t="inlineStr">
        <is>
          <t>RS</t>
        </is>
      </c>
      <c r="D254" s="14" t="inlineStr">
        <is>
          <t>WEC109</t>
        </is>
      </c>
      <c r="E254" s="14" t="inlineStr">
        <is>
          <t>Matched</t>
        </is>
      </c>
      <c r="F254" s="14" t="inlineStr">
        <is>
          <t>No</t>
        </is>
      </c>
      <c r="G254" s="14" t="inlineStr">
        <is>
          <t>Microsoft 365 Business Premium</t>
        </is>
      </c>
      <c r="H254" s="14" t="inlineStr">
        <is>
          <t>Likely billable</t>
        </is>
      </c>
      <c r="I254" s="18">
        <f>IFERROR(VLOOKUP(G254,SKU_Cost_Input!$A$2:$E$16,4,FALSE),0)</f>
        <v/>
      </c>
      <c r="J254" s="14">
        <f>IFERROR(VLOOKUP(G254,SKU_Cost_Input!$A$2:$E$16,2,FALSE),0)</f>
        <v/>
      </c>
      <c r="K254" s="18">
        <f>IF(J254=0,0,I254/J254)</f>
        <v/>
      </c>
      <c r="L254" s="18">
        <f>K254</f>
        <v/>
      </c>
      <c r="M254" s="14" t="inlineStr">
        <is>
          <t>Exact company email match</t>
        </is>
      </c>
      <c r="N254" s="14" t="inlineStr">
        <is>
          <t>Review: Business Premium — consider Business Basic/Standard</t>
        </is>
      </c>
    </row>
    <row r="255">
      <c r="A255" s="14" t="inlineStr">
        <is>
          <t>mariette@WearCheckRS.com</t>
        </is>
      </c>
      <c r="B255" s="14" t="inlineStr">
        <is>
          <t>Mariette Du Rand</t>
        </is>
      </c>
      <c r="C255" s="14" t="inlineStr">
        <is>
          <t>RS</t>
        </is>
      </c>
      <c r="D255" s="14" t="inlineStr">
        <is>
          <t>WEC109</t>
        </is>
      </c>
      <c r="E255" s="14" t="inlineStr">
        <is>
          <t>Matched</t>
        </is>
      </c>
      <c r="F255" s="14" t="inlineStr">
        <is>
          <t>No</t>
        </is>
      </c>
      <c r="G255" s="14" t="inlineStr">
        <is>
          <t>Microsoft Defender for Office 365 (Plan 2)</t>
        </is>
      </c>
      <c r="H255" s="14" t="inlineStr">
        <is>
          <t>Likely billable</t>
        </is>
      </c>
      <c r="I255" s="18">
        <f>IFERROR(VLOOKUP(G255,SKU_Cost_Input!$A$2:$E$16,4,FALSE),0)</f>
        <v/>
      </c>
      <c r="J255" s="14">
        <f>IFERROR(VLOOKUP(G255,SKU_Cost_Input!$A$2:$E$16,2,FALSE),0)</f>
        <v/>
      </c>
      <c r="K255" s="18">
        <f>IF(J255=0,0,I255/J255)</f>
        <v/>
      </c>
      <c r="L255" s="18">
        <f>K255</f>
        <v/>
      </c>
      <c r="M255" s="14" t="inlineStr">
        <is>
          <t>Exact company email match</t>
        </is>
      </c>
      <c r="N255" s="14" t="inlineStr"/>
    </row>
    <row r="256">
      <c r="A256" s="14" t="inlineStr">
        <is>
          <t>marshallr@WearCheckRS.com</t>
        </is>
      </c>
      <c r="B256" s="14" t="inlineStr">
        <is>
          <t>Marshall Rasimphi</t>
        </is>
      </c>
      <c r="C256" s="14" t="inlineStr">
        <is>
          <t>RS</t>
        </is>
      </c>
      <c r="D256" s="14" t="inlineStr">
        <is>
          <t>WEC094</t>
        </is>
      </c>
      <c r="E256" s="14" t="inlineStr">
        <is>
          <t>Matched</t>
        </is>
      </c>
      <c r="F256" s="14" t="inlineStr">
        <is>
          <t>No</t>
        </is>
      </c>
      <c r="G256" s="14" t="inlineStr">
        <is>
          <t>Microsoft Defender for Office 365 (Plan 2)</t>
        </is>
      </c>
      <c r="H256" s="14" t="inlineStr">
        <is>
          <t>Likely billable</t>
        </is>
      </c>
      <c r="I256" s="18">
        <f>IFERROR(VLOOKUP(G256,SKU_Cost_Input!$A$2:$E$16,4,FALSE),0)</f>
        <v/>
      </c>
      <c r="J256" s="14">
        <f>IFERROR(VLOOKUP(G256,SKU_Cost_Input!$A$2:$E$16,2,FALSE),0)</f>
        <v/>
      </c>
      <c r="K256" s="18">
        <f>IF(J256=0,0,I256/J256)</f>
        <v/>
      </c>
      <c r="L256" s="18">
        <f>K256</f>
        <v/>
      </c>
      <c r="M256" s="14" t="inlineStr">
        <is>
          <t>Exact company email match</t>
        </is>
      </c>
      <c r="N256" s="14" t="inlineStr"/>
    </row>
    <row r="257">
      <c r="A257" s="14" t="inlineStr">
        <is>
          <t>marshallr@WearCheckRS.com</t>
        </is>
      </c>
      <c r="B257" s="14" t="inlineStr">
        <is>
          <t>Marshall Rasimphi</t>
        </is>
      </c>
      <c r="C257" s="14" t="inlineStr">
        <is>
          <t>RS</t>
        </is>
      </c>
      <c r="D257" s="14" t="inlineStr">
        <is>
          <t>WEC094</t>
        </is>
      </c>
      <c r="E257" s="14" t="inlineStr">
        <is>
          <t>Matched</t>
        </is>
      </c>
      <c r="F257" s="14" t="inlineStr">
        <is>
          <t>No</t>
        </is>
      </c>
      <c r="G257" s="14" t="inlineStr">
        <is>
          <t>Microsoft 365 Business Standard</t>
        </is>
      </c>
      <c r="H257" s="14" t="inlineStr">
        <is>
          <t>Likely billable</t>
        </is>
      </c>
      <c r="I257" s="18">
        <f>IFERROR(VLOOKUP(G257,SKU_Cost_Input!$A$2:$E$16,4,FALSE),0)</f>
        <v/>
      </c>
      <c r="J257" s="14">
        <f>IFERROR(VLOOKUP(G257,SKU_Cost_Input!$A$2:$E$16,2,FALSE),0)</f>
        <v/>
      </c>
      <c r="K257" s="18">
        <f>IF(J257=0,0,I257/J257)</f>
        <v/>
      </c>
      <c r="L257" s="18">
        <f>K257</f>
        <v/>
      </c>
      <c r="M257" s="14" t="inlineStr">
        <is>
          <t>Exact company email match</t>
        </is>
      </c>
      <c r="N257" s="14" t="inlineStr">
        <is>
          <t>Review: Business Standard — consider Business Basic if sufficient</t>
        </is>
      </c>
    </row>
    <row r="258">
      <c r="A258" s="14" t="inlineStr">
        <is>
          <t>marthinus_admin@wearcheckrs.com</t>
        </is>
      </c>
      <c r="B258" s="14" t="inlineStr">
        <is>
          <t>Marthinus Admin Account</t>
        </is>
      </c>
      <c r="C258" s="14" t="inlineStr">
        <is>
          <t>RS</t>
        </is>
      </c>
      <c r="D258" s="14" t="n"/>
      <c r="E258" s="14" t="inlineStr">
        <is>
          <t>Mapped by rule</t>
        </is>
      </c>
      <c r="F258" s="14" t="inlineStr">
        <is>
          <t>No</t>
        </is>
      </c>
      <c r="G258" s="14" t="inlineStr">
        <is>
          <t>Microsoft Power Automate Free</t>
        </is>
      </c>
      <c r="H258" s="14" t="inlineStr">
        <is>
          <t>Likely free / trial</t>
        </is>
      </c>
      <c r="I258" s="18">
        <f>IFERROR(VLOOKUP(G258,SKU_Cost_Input!$A$2:$E$16,4,FALSE),0)</f>
        <v/>
      </c>
      <c r="J258" s="14">
        <f>IFERROR(VLOOKUP(G258,SKU_Cost_Input!$A$2:$E$16,2,FALSE),0)</f>
        <v/>
      </c>
      <c r="K258" s="18">
        <f>IF(J258=0,0,I258/J258)</f>
        <v/>
      </c>
      <c r="L258" s="18">
        <f>K258</f>
        <v/>
      </c>
      <c r="M258" s="14" t="inlineStr">
        <is>
          <t>Generic/shared/service account defaulted to RS per instruction</t>
        </is>
      </c>
      <c r="N258" s="14" t="inlineStr"/>
    </row>
    <row r="259">
      <c r="A259" s="14" t="inlineStr">
        <is>
          <t>marthinus_admin@wearcheckrs.com</t>
        </is>
      </c>
      <c r="B259" s="14" t="inlineStr">
        <is>
          <t>Marthinus Admin Account</t>
        </is>
      </c>
      <c r="C259" s="14" t="inlineStr">
        <is>
          <t>RS</t>
        </is>
      </c>
      <c r="D259" s="14" t="n"/>
      <c r="E259" s="14" t="inlineStr">
        <is>
          <t>Mapped by rule</t>
        </is>
      </c>
      <c r="F259" s="14" t="inlineStr">
        <is>
          <t>No</t>
        </is>
      </c>
      <c r="G259" s="14" t="inlineStr">
        <is>
          <t>Microsoft Fabric (Free)</t>
        </is>
      </c>
      <c r="H259" s="14" t="inlineStr">
        <is>
          <t>Likely free / trial</t>
        </is>
      </c>
      <c r="I259" s="18">
        <f>IFERROR(VLOOKUP(G259,SKU_Cost_Input!$A$2:$E$16,4,FALSE),0)</f>
        <v/>
      </c>
      <c r="J259" s="14">
        <f>IFERROR(VLOOKUP(G259,SKU_Cost_Input!$A$2:$E$16,2,FALSE),0)</f>
        <v/>
      </c>
      <c r="K259" s="18">
        <f>IF(J259=0,0,I259/J259)</f>
        <v/>
      </c>
      <c r="L259" s="18">
        <f>K259</f>
        <v/>
      </c>
      <c r="M259" s="14" t="inlineStr">
        <is>
          <t>Generic/shared/service account defaulted to RS per instruction</t>
        </is>
      </c>
      <c r="N259" s="14" t="inlineStr"/>
    </row>
    <row r="260">
      <c r="A260" s="14" t="inlineStr">
        <is>
          <t>Marthinus@WearCheckRS.com</t>
        </is>
      </c>
      <c r="B260" s="14" t="inlineStr">
        <is>
          <t>Marthinus Steenkamp</t>
        </is>
      </c>
      <c r="C260" s="14" t="inlineStr">
        <is>
          <t>RS</t>
        </is>
      </c>
      <c r="D260" s="14" t="inlineStr"/>
      <c r="E260" s="14" t="inlineStr">
        <is>
          <t>Contractor</t>
        </is>
      </c>
      <c r="F260" s="14" t="inlineStr">
        <is>
          <t>No</t>
        </is>
      </c>
      <c r="G260" s="14" t="inlineStr">
        <is>
          <t>Microsoft Defender for Office 365 (Plan 2)</t>
        </is>
      </c>
      <c r="H260" s="14" t="inlineStr">
        <is>
          <t>Likely billable</t>
        </is>
      </c>
      <c r="I260" s="18">
        <f>IFERROR(VLOOKUP(G260,SKU_Cost_Input!$A$2:$E$16,4,FALSE),0)</f>
        <v/>
      </c>
      <c r="J260" s="14">
        <f>IFERROR(VLOOKUP(G260,SKU_Cost_Input!$A$2:$E$16,2,FALSE),0)</f>
        <v/>
      </c>
      <c r="K260" s="18">
        <f>IF(J260=0,0,I260/J260)</f>
        <v/>
      </c>
      <c r="L260" s="18">
        <f>K260</f>
        <v/>
      </c>
      <c r="M260" s="14" t="inlineStr">
        <is>
          <t>Not an employee — contractor. Licence allocated to RS.</t>
        </is>
      </c>
      <c r="N260" s="14" t="inlineStr"/>
    </row>
    <row r="261">
      <c r="A261" s="14" t="inlineStr">
        <is>
          <t>Marthinus@WearCheckRS.com</t>
        </is>
      </c>
      <c r="B261" s="14" t="inlineStr">
        <is>
          <t>Marthinus Steenkamp</t>
        </is>
      </c>
      <c r="C261" s="14" t="inlineStr">
        <is>
          <t>RS</t>
        </is>
      </c>
      <c r="D261" s="14" t="inlineStr"/>
      <c r="E261" s="14" t="inlineStr">
        <is>
          <t>Contractor</t>
        </is>
      </c>
      <c r="F261" s="14" t="inlineStr">
        <is>
          <t>No</t>
        </is>
      </c>
      <c r="G261" s="14" t="inlineStr">
        <is>
          <t>Microsoft 365 E3</t>
        </is>
      </c>
      <c r="H261" s="14" t="inlineStr">
        <is>
          <t>Likely billable</t>
        </is>
      </c>
      <c r="I261" s="18">
        <f>IFERROR(VLOOKUP(G261,SKU_Cost_Input!$A$2:$E$16,4,FALSE),0)</f>
        <v/>
      </c>
      <c r="J261" s="14">
        <f>IFERROR(VLOOKUP(G261,SKU_Cost_Input!$A$2:$E$16,2,FALSE),0)</f>
        <v/>
      </c>
      <c r="K261" s="18">
        <f>IF(J261=0,0,I261/J261)</f>
        <v/>
      </c>
      <c r="L261" s="18">
        <f>K261</f>
        <v/>
      </c>
      <c r="M261" s="14" t="inlineStr">
        <is>
          <t>Not an employee — contractor. Licence allocated to RS.</t>
        </is>
      </c>
      <c r="N261" s="14" t="inlineStr">
        <is>
          <t>Review: E3 may be downgradeable to E1 or Business Basic</t>
        </is>
      </c>
    </row>
    <row r="262">
      <c r="A262" s="14" t="inlineStr">
        <is>
          <t>Marthinus@WearCheckRS.com</t>
        </is>
      </c>
      <c r="B262" s="14" t="inlineStr">
        <is>
          <t>Marthinus Steenkamp</t>
        </is>
      </c>
      <c r="C262" s="14" t="inlineStr">
        <is>
          <t>RS</t>
        </is>
      </c>
      <c r="D262" s="14" t="inlineStr"/>
      <c r="E262" s="14" t="inlineStr">
        <is>
          <t>Contractor</t>
        </is>
      </c>
      <c r="F262" s="14" t="inlineStr">
        <is>
          <t>No</t>
        </is>
      </c>
      <c r="G262" s="14" t="inlineStr">
        <is>
          <t>Microsoft Fabric (Free)</t>
        </is>
      </c>
      <c r="H262" s="14" t="inlineStr">
        <is>
          <t>Likely free / trial</t>
        </is>
      </c>
      <c r="I262" s="18">
        <f>IFERROR(VLOOKUP(G262,SKU_Cost_Input!$A$2:$E$16,4,FALSE),0)</f>
        <v/>
      </c>
      <c r="J262" s="14">
        <f>IFERROR(VLOOKUP(G262,SKU_Cost_Input!$A$2:$E$16,2,FALSE),0)</f>
        <v/>
      </c>
      <c r="K262" s="18">
        <f>IF(J262=0,0,I262/J262)</f>
        <v/>
      </c>
      <c r="L262" s="18">
        <f>K262</f>
        <v/>
      </c>
      <c r="M262" s="14" t="inlineStr">
        <is>
          <t>Not an employee — contractor. Licence allocated to RS.</t>
        </is>
      </c>
      <c r="N262" s="14" t="inlineStr"/>
    </row>
    <row r="263">
      <c r="A263" s="14" t="inlineStr">
        <is>
          <t>martiens@WearCheckRS.com</t>
        </is>
      </c>
      <c r="B263" s="14" t="inlineStr">
        <is>
          <t>Martiens Van Aarde</t>
        </is>
      </c>
      <c r="C263" s="14" t="inlineStr">
        <is>
          <t>RS</t>
        </is>
      </c>
      <c r="D263" s="14" t="inlineStr">
        <is>
          <t>WEC106</t>
        </is>
      </c>
      <c r="E263" s="14" t="inlineStr">
        <is>
          <t>Matched</t>
        </is>
      </c>
      <c r="F263" s="14" t="inlineStr">
        <is>
          <t>No</t>
        </is>
      </c>
      <c r="G263" s="14" t="inlineStr">
        <is>
          <t>Microsoft Power Automate Free</t>
        </is>
      </c>
      <c r="H263" s="14" t="inlineStr">
        <is>
          <t>Likely free / trial</t>
        </is>
      </c>
      <c r="I263" s="18">
        <f>IFERROR(VLOOKUP(G263,SKU_Cost_Input!$A$2:$E$16,4,FALSE),0)</f>
        <v/>
      </c>
      <c r="J263" s="14">
        <f>IFERROR(VLOOKUP(G263,SKU_Cost_Input!$A$2:$E$16,2,FALSE),0)</f>
        <v/>
      </c>
      <c r="K263" s="18">
        <f>IF(J263=0,0,I263/J263)</f>
        <v/>
      </c>
      <c r="L263" s="18">
        <f>K263</f>
        <v/>
      </c>
      <c r="M263" s="14" t="inlineStr">
        <is>
          <t>Exact company email match</t>
        </is>
      </c>
      <c r="N263" s="14" t="inlineStr"/>
    </row>
    <row r="264">
      <c r="A264" s="14" t="inlineStr">
        <is>
          <t>martiens@WearCheckRS.com</t>
        </is>
      </c>
      <c r="B264" s="14" t="inlineStr">
        <is>
          <t>Martiens Van Aarde</t>
        </is>
      </c>
      <c r="C264" s="14" t="inlineStr">
        <is>
          <t>RS</t>
        </is>
      </c>
      <c r="D264" s="14" t="inlineStr">
        <is>
          <t>WEC106</t>
        </is>
      </c>
      <c r="E264" s="14" t="inlineStr">
        <is>
          <t>Matched</t>
        </is>
      </c>
      <c r="F264" s="14" t="inlineStr">
        <is>
          <t>No</t>
        </is>
      </c>
      <c r="G264" s="14" t="inlineStr">
        <is>
          <t>Microsoft Defender for Office 365 (Plan 2)</t>
        </is>
      </c>
      <c r="H264" s="14" t="inlineStr">
        <is>
          <t>Likely billable</t>
        </is>
      </c>
      <c r="I264" s="18">
        <f>IFERROR(VLOOKUP(G264,SKU_Cost_Input!$A$2:$E$16,4,FALSE),0)</f>
        <v/>
      </c>
      <c r="J264" s="14">
        <f>IFERROR(VLOOKUP(G264,SKU_Cost_Input!$A$2:$E$16,2,FALSE),0)</f>
        <v/>
      </c>
      <c r="K264" s="18">
        <f>IF(J264=0,0,I264/J264)</f>
        <v/>
      </c>
      <c r="L264" s="18">
        <f>K264</f>
        <v/>
      </c>
      <c r="M264" s="14" t="inlineStr">
        <is>
          <t>Exact company email match</t>
        </is>
      </c>
      <c r="N264" s="14" t="inlineStr"/>
    </row>
    <row r="265">
      <c r="A265" s="14" t="inlineStr">
        <is>
          <t>martiens@WearCheckRS.com</t>
        </is>
      </c>
      <c r="B265" s="14" t="inlineStr">
        <is>
          <t>Martiens Van Aarde</t>
        </is>
      </c>
      <c r="C265" s="14" t="inlineStr">
        <is>
          <t>RS</t>
        </is>
      </c>
      <c r="D265" s="14" t="inlineStr">
        <is>
          <t>WEC106</t>
        </is>
      </c>
      <c r="E265" s="14" t="inlineStr">
        <is>
          <t>Matched</t>
        </is>
      </c>
      <c r="F265" s="14" t="inlineStr">
        <is>
          <t>No</t>
        </is>
      </c>
      <c r="G265" s="14" t="inlineStr">
        <is>
          <t>Microsoft 365 Business Standard</t>
        </is>
      </c>
      <c r="H265" s="14" t="inlineStr">
        <is>
          <t>Likely billable</t>
        </is>
      </c>
      <c r="I265" s="18">
        <f>IFERROR(VLOOKUP(G265,SKU_Cost_Input!$A$2:$E$16,4,FALSE),0)</f>
        <v/>
      </c>
      <c r="J265" s="14">
        <f>IFERROR(VLOOKUP(G265,SKU_Cost_Input!$A$2:$E$16,2,FALSE),0)</f>
        <v/>
      </c>
      <c r="K265" s="18">
        <f>IF(J265=0,0,I265/J265)</f>
        <v/>
      </c>
      <c r="L265" s="18">
        <f>K265</f>
        <v/>
      </c>
      <c r="M265" s="14" t="inlineStr">
        <is>
          <t>Exact company email match</t>
        </is>
      </c>
      <c r="N265" s="14" t="inlineStr">
        <is>
          <t>Review: Business Standard — consider Business Basic if sufficient</t>
        </is>
      </c>
    </row>
    <row r="266">
      <c r="A266" s="14" t="inlineStr">
        <is>
          <t>martin.prinsloo@WearCheckRS.com</t>
        </is>
      </c>
      <c r="B266" s="14" t="inlineStr">
        <is>
          <t>Martin Prinsloo</t>
        </is>
      </c>
      <c r="C266" s="14" t="inlineStr">
        <is>
          <t>RS</t>
        </is>
      </c>
      <c r="D266" s="14" t="inlineStr"/>
      <c r="E266" s="14" t="inlineStr">
        <is>
          <t>Ex-Employee</t>
        </is>
      </c>
      <c r="F266" s="14" t="inlineStr">
        <is>
          <t>No</t>
        </is>
      </c>
      <c r="G266" s="14" t="inlineStr">
        <is>
          <t>Microsoft Fabric (Free)</t>
        </is>
      </c>
      <c r="H266" s="14" t="inlineStr">
        <is>
          <t>Likely free / trial</t>
        </is>
      </c>
      <c r="I266" s="18">
        <f>IFERROR(VLOOKUP(G266,SKU_Cost_Input!$A$2:$E$16,4,FALSE),0)</f>
        <v/>
      </c>
      <c r="J266" s="14">
        <f>IFERROR(VLOOKUP(G266,SKU_Cost_Input!$A$2:$E$16,2,FALSE),0)</f>
        <v/>
      </c>
      <c r="K266" s="18">
        <f>IF(J266=0,0,I266/J266)</f>
        <v/>
      </c>
      <c r="L266" s="18">
        <f>K266</f>
        <v/>
      </c>
      <c r="M266" s="14" t="inlineStr">
        <is>
          <t>No longer an employee. FLAG: Remove licence.</t>
        </is>
      </c>
      <c r="N266" s="14" t="inlineStr"/>
    </row>
    <row r="267">
      <c r="A267" s="14" t="inlineStr">
        <is>
          <t>Megan@wearcheckrs.com</t>
        </is>
      </c>
      <c r="B267" s="14" t="inlineStr">
        <is>
          <t>Megan Salzwedel</t>
        </is>
      </c>
      <c r="C267" s="14" t="inlineStr">
        <is>
          <t>RS</t>
        </is>
      </c>
      <c r="D267" s="14" t="inlineStr">
        <is>
          <t>WEC104</t>
        </is>
      </c>
      <c r="E267" s="14" t="inlineStr">
        <is>
          <t>Matched</t>
        </is>
      </c>
      <c r="F267" s="14" t="inlineStr">
        <is>
          <t>No</t>
        </is>
      </c>
      <c r="G267" s="14" t="inlineStr">
        <is>
          <t>Microsoft 365 Business Premium</t>
        </is>
      </c>
      <c r="H267" s="14" t="inlineStr">
        <is>
          <t>Likely billable</t>
        </is>
      </c>
      <c r="I267" s="18">
        <f>IFERROR(VLOOKUP(G267,SKU_Cost_Input!$A$2:$E$16,4,FALSE),0)</f>
        <v/>
      </c>
      <c r="J267" s="14">
        <f>IFERROR(VLOOKUP(G267,SKU_Cost_Input!$A$2:$E$16,2,FALSE),0)</f>
        <v/>
      </c>
      <c r="K267" s="18">
        <f>IF(J267=0,0,I267/J267)</f>
        <v/>
      </c>
      <c r="L267" s="18">
        <f>K267</f>
        <v/>
      </c>
      <c r="M267" s="14" t="inlineStr">
        <is>
          <t>Exact company email match</t>
        </is>
      </c>
      <c r="N267" s="14" t="inlineStr">
        <is>
          <t>Review: Business Premium — consider Business Basic/Standard</t>
        </is>
      </c>
    </row>
    <row r="268">
      <c r="A268" s="14" t="inlineStr">
        <is>
          <t>Megan@wearcheckrs.com</t>
        </is>
      </c>
      <c r="B268" s="14" t="inlineStr">
        <is>
          <t>Megan Salzwedel</t>
        </is>
      </c>
      <c r="C268" s="14" t="inlineStr">
        <is>
          <t>RS</t>
        </is>
      </c>
      <c r="D268" s="14" t="inlineStr">
        <is>
          <t>WEC104</t>
        </is>
      </c>
      <c r="E268" s="14" t="inlineStr">
        <is>
          <t>Matched</t>
        </is>
      </c>
      <c r="F268" s="14" t="inlineStr">
        <is>
          <t>No</t>
        </is>
      </c>
      <c r="G268" s="14" t="inlineStr">
        <is>
          <t>Microsoft Defender for Office 365 (Plan 2)</t>
        </is>
      </c>
      <c r="H268" s="14" t="inlineStr">
        <is>
          <t>Likely billable</t>
        </is>
      </c>
      <c r="I268" s="18">
        <f>IFERROR(VLOOKUP(G268,SKU_Cost_Input!$A$2:$E$16,4,FALSE),0)</f>
        <v/>
      </c>
      <c r="J268" s="14">
        <f>IFERROR(VLOOKUP(G268,SKU_Cost_Input!$A$2:$E$16,2,FALSE),0)</f>
        <v/>
      </c>
      <c r="K268" s="18">
        <f>IF(J268=0,0,I268/J268)</f>
        <v/>
      </c>
      <c r="L268" s="18">
        <f>K268</f>
        <v/>
      </c>
      <c r="M268" s="14" t="inlineStr">
        <is>
          <t>Exact company email match</t>
        </is>
      </c>
      <c r="N268" s="14" t="inlineStr"/>
    </row>
    <row r="269">
      <c r="A269" s="14" t="inlineStr">
        <is>
          <t>Megan@wearcheckrs.com</t>
        </is>
      </c>
      <c r="B269" s="14" t="inlineStr">
        <is>
          <t>Megan Salzwedel</t>
        </is>
      </c>
      <c r="C269" s="14" t="inlineStr">
        <is>
          <t>RS</t>
        </is>
      </c>
      <c r="D269" s="14" t="inlineStr">
        <is>
          <t>WEC104</t>
        </is>
      </c>
      <c r="E269" s="14" t="inlineStr">
        <is>
          <t>Matched</t>
        </is>
      </c>
      <c r="F269" s="14" t="inlineStr">
        <is>
          <t>No</t>
        </is>
      </c>
      <c r="G269" s="14" t="inlineStr">
        <is>
          <t>Microsoft Power Apps Plan 2 Trial</t>
        </is>
      </c>
      <c r="H269" s="14" t="inlineStr">
        <is>
          <t>Likely free / trial</t>
        </is>
      </c>
      <c r="I269" s="18">
        <f>IFERROR(VLOOKUP(G269,SKU_Cost_Input!$A$2:$E$16,4,FALSE),0)</f>
        <v/>
      </c>
      <c r="J269" s="14">
        <f>IFERROR(VLOOKUP(G269,SKU_Cost_Input!$A$2:$E$16,2,FALSE),0)</f>
        <v/>
      </c>
      <c r="K269" s="18">
        <f>IF(J269=0,0,I269/J269)</f>
        <v/>
      </c>
      <c r="L269" s="18">
        <f>K269</f>
        <v/>
      </c>
      <c r="M269" s="14" t="inlineStr">
        <is>
          <t>Exact company email match</t>
        </is>
      </c>
      <c r="N269" s="14" t="inlineStr"/>
    </row>
    <row r="270">
      <c r="A270" s="14" t="inlineStr">
        <is>
          <t>Megan@wearcheckrs.com</t>
        </is>
      </c>
      <c r="B270" s="14" t="inlineStr">
        <is>
          <t>Megan Salzwedel</t>
        </is>
      </c>
      <c r="C270" s="14" t="inlineStr">
        <is>
          <t>RS</t>
        </is>
      </c>
      <c r="D270" s="14" t="inlineStr">
        <is>
          <t>WEC104</t>
        </is>
      </c>
      <c r="E270" s="14" t="inlineStr">
        <is>
          <t>Matched</t>
        </is>
      </c>
      <c r="F270" s="14" t="inlineStr">
        <is>
          <t>No</t>
        </is>
      </c>
      <c r="G270" s="14" t="inlineStr">
        <is>
          <t>Microsoft Fabric (Free)</t>
        </is>
      </c>
      <c r="H270" s="14" t="inlineStr">
        <is>
          <t>Likely free / trial</t>
        </is>
      </c>
      <c r="I270" s="18">
        <f>IFERROR(VLOOKUP(G270,SKU_Cost_Input!$A$2:$E$16,4,FALSE),0)</f>
        <v/>
      </c>
      <c r="J270" s="14">
        <f>IFERROR(VLOOKUP(G270,SKU_Cost_Input!$A$2:$E$16,2,FALSE),0)</f>
        <v/>
      </c>
      <c r="K270" s="18">
        <f>IF(J270=0,0,I270/J270)</f>
        <v/>
      </c>
      <c r="L270" s="18">
        <f>K270</f>
        <v/>
      </c>
      <c r="M270" s="14" t="inlineStr">
        <is>
          <t>Exact company email match</t>
        </is>
      </c>
      <c r="N270" s="14" t="inlineStr"/>
    </row>
    <row r="271">
      <c r="A271" s="14" t="inlineStr">
        <is>
          <t>Megan@wearcheckrs.com</t>
        </is>
      </c>
      <c r="B271" s="14" t="inlineStr">
        <is>
          <t>Megan Salzwedel</t>
        </is>
      </c>
      <c r="C271" s="14" t="inlineStr">
        <is>
          <t>RS</t>
        </is>
      </c>
      <c r="D271" s="14" t="inlineStr">
        <is>
          <t>WEC104</t>
        </is>
      </c>
      <c r="E271" s="14" t="inlineStr">
        <is>
          <t>Matched</t>
        </is>
      </c>
      <c r="F271" s="14" t="inlineStr">
        <is>
          <t>No</t>
        </is>
      </c>
      <c r="G271" s="14" t="inlineStr">
        <is>
          <t>Microsoft Power Automate Free</t>
        </is>
      </c>
      <c r="H271" s="14" t="inlineStr">
        <is>
          <t>Likely free / trial</t>
        </is>
      </c>
      <c r="I271" s="18">
        <f>IFERROR(VLOOKUP(G271,SKU_Cost_Input!$A$2:$E$16,4,FALSE),0)</f>
        <v/>
      </c>
      <c r="J271" s="14">
        <f>IFERROR(VLOOKUP(G271,SKU_Cost_Input!$A$2:$E$16,2,FALSE),0)</f>
        <v/>
      </c>
      <c r="K271" s="18">
        <f>IF(J271=0,0,I271/J271)</f>
        <v/>
      </c>
      <c r="L271" s="18">
        <f>K271</f>
        <v/>
      </c>
      <c r="M271" s="14" t="inlineStr">
        <is>
          <t>Exact company email match</t>
        </is>
      </c>
      <c r="N271" s="14" t="inlineStr"/>
    </row>
    <row r="272">
      <c r="A272" s="14" t="inlineStr">
        <is>
          <t>Mervyn@WearCheckRS.com</t>
        </is>
      </c>
      <c r="B272" s="14" t="inlineStr">
        <is>
          <t>Mervyn Gibbons</t>
        </is>
      </c>
      <c r="C272" s="14" t="inlineStr">
        <is>
          <t>AFS</t>
        </is>
      </c>
      <c r="D272" s="14" t="inlineStr"/>
      <c r="E272" s="14" t="inlineStr">
        <is>
          <t>Confirmed</t>
        </is>
      </c>
      <c r="F272" s="14" t="inlineStr">
        <is>
          <t>No</t>
        </is>
      </c>
      <c r="G272" s="14" t="inlineStr">
        <is>
          <t>Microsoft Power Automate Free</t>
        </is>
      </c>
      <c r="H272" s="14" t="inlineStr">
        <is>
          <t>Likely free / trial</t>
        </is>
      </c>
      <c r="I272" s="18">
        <f>IFERROR(VLOOKUP(G272,SKU_Cost_Input!$A$2:$E$16,4,FALSE),0)</f>
        <v/>
      </c>
      <c r="J272" s="14">
        <f>IFERROR(VLOOKUP(G272,SKU_Cost_Input!$A$2:$E$16,2,FALSE),0)</f>
        <v/>
      </c>
      <c r="K272" s="18">
        <f>IF(J272=0,0,I272/J272)</f>
        <v/>
      </c>
      <c r="L272" s="18">
        <f>K272</f>
        <v/>
      </c>
      <c r="M272" s="14" t="inlineStr">
        <is>
          <t>Confirmed match to mervyng@wearcheck.co.za (reviewed)</t>
        </is>
      </c>
      <c r="N272" s="14" t="inlineStr"/>
    </row>
    <row r="273">
      <c r="A273" s="14" t="inlineStr">
        <is>
          <t>Mervyn@WearCheckRS.com</t>
        </is>
      </c>
      <c r="B273" s="14" t="inlineStr">
        <is>
          <t>Mervyn Gibbons</t>
        </is>
      </c>
      <c r="C273" s="14" t="inlineStr">
        <is>
          <t>AFS</t>
        </is>
      </c>
      <c r="D273" s="14" t="inlineStr"/>
      <c r="E273" s="14" t="inlineStr">
        <is>
          <t>Confirmed</t>
        </is>
      </c>
      <c r="F273" s="14" t="inlineStr">
        <is>
          <t>No</t>
        </is>
      </c>
      <c r="G273" s="14" t="inlineStr">
        <is>
          <t>Microsoft 365 Business Standard</t>
        </is>
      </c>
      <c r="H273" s="14" t="inlineStr">
        <is>
          <t>Likely billable</t>
        </is>
      </c>
      <c r="I273" s="18">
        <f>IFERROR(VLOOKUP(G273,SKU_Cost_Input!$A$2:$E$16,4,FALSE),0)</f>
        <v/>
      </c>
      <c r="J273" s="14">
        <f>IFERROR(VLOOKUP(G273,SKU_Cost_Input!$A$2:$E$16,2,FALSE),0)</f>
        <v/>
      </c>
      <c r="K273" s="18">
        <f>IF(J273=0,0,I273/J273)</f>
        <v/>
      </c>
      <c r="L273" s="18">
        <f>K273</f>
        <v/>
      </c>
      <c r="M273" s="14" t="inlineStr">
        <is>
          <t>Confirmed match to mervyng@wearcheck.co.za (reviewed)</t>
        </is>
      </c>
      <c r="N273" s="14" t="inlineStr">
        <is>
          <t>Review: Business Standard — consider Business Basic if sufficient</t>
        </is>
      </c>
    </row>
    <row r="274">
      <c r="A274" s="14" t="inlineStr">
        <is>
          <t>Mervyn@WearCheckRS.com</t>
        </is>
      </c>
      <c r="B274" s="14" t="inlineStr">
        <is>
          <t>Mervyn Gibbons</t>
        </is>
      </c>
      <c r="C274" s="14" t="inlineStr">
        <is>
          <t>AFS</t>
        </is>
      </c>
      <c r="D274" s="14" t="inlineStr"/>
      <c r="E274" s="14" t="inlineStr">
        <is>
          <t>Confirmed</t>
        </is>
      </c>
      <c r="F274" s="14" t="inlineStr">
        <is>
          <t>No</t>
        </is>
      </c>
      <c r="G274" s="14" t="inlineStr">
        <is>
          <t>Microsoft Power Apps Plan 2 Trial</t>
        </is>
      </c>
      <c r="H274" s="14" t="inlineStr">
        <is>
          <t>Likely free / trial</t>
        </is>
      </c>
      <c r="I274" s="18">
        <f>IFERROR(VLOOKUP(G274,SKU_Cost_Input!$A$2:$E$16,4,FALSE),0)</f>
        <v/>
      </c>
      <c r="J274" s="14">
        <f>IFERROR(VLOOKUP(G274,SKU_Cost_Input!$A$2:$E$16,2,FALSE),0)</f>
        <v/>
      </c>
      <c r="K274" s="18">
        <f>IF(J274=0,0,I274/J274)</f>
        <v/>
      </c>
      <c r="L274" s="18">
        <f>K274</f>
        <v/>
      </c>
      <c r="M274" s="14" t="inlineStr">
        <is>
          <t>Confirmed match to mervyng@wearcheck.co.za (reviewed)</t>
        </is>
      </c>
      <c r="N274" s="14" t="inlineStr"/>
    </row>
    <row r="275">
      <c r="A275" s="14" t="inlineStr">
        <is>
          <t>Mervyn@WearCheckRS.com</t>
        </is>
      </c>
      <c r="B275" s="14" t="inlineStr">
        <is>
          <t>Mervyn Gibbons</t>
        </is>
      </c>
      <c r="C275" s="14" t="inlineStr">
        <is>
          <t>AFS</t>
        </is>
      </c>
      <c r="D275" s="14" t="inlineStr"/>
      <c r="E275" s="14" t="inlineStr">
        <is>
          <t>Confirmed</t>
        </is>
      </c>
      <c r="F275" s="14" t="inlineStr">
        <is>
          <t>No</t>
        </is>
      </c>
      <c r="G275" s="14" t="inlineStr">
        <is>
          <t>Microsoft Fabric (Free)</t>
        </is>
      </c>
      <c r="H275" s="14" t="inlineStr">
        <is>
          <t>Likely free / trial</t>
        </is>
      </c>
      <c r="I275" s="18">
        <f>IFERROR(VLOOKUP(G275,SKU_Cost_Input!$A$2:$E$16,4,FALSE),0)</f>
        <v/>
      </c>
      <c r="J275" s="14">
        <f>IFERROR(VLOOKUP(G275,SKU_Cost_Input!$A$2:$E$16,2,FALSE),0)</f>
        <v/>
      </c>
      <c r="K275" s="18">
        <f>IF(J275=0,0,I275/J275)</f>
        <v/>
      </c>
      <c r="L275" s="18">
        <f>K275</f>
        <v/>
      </c>
      <c r="M275" s="14" t="inlineStr">
        <is>
          <t>Confirmed match to mervyng@wearcheck.co.za (reviewed)</t>
        </is>
      </c>
      <c r="N275" s="14" t="inlineStr"/>
    </row>
    <row r="276">
      <c r="A276" s="14" t="inlineStr">
        <is>
          <t>Mervyn@WearCheckRS.com</t>
        </is>
      </c>
      <c r="B276" s="14" t="inlineStr">
        <is>
          <t>Mervyn Gibbons</t>
        </is>
      </c>
      <c r="C276" s="14" t="inlineStr">
        <is>
          <t>AFS</t>
        </is>
      </c>
      <c r="D276" s="14" t="inlineStr"/>
      <c r="E276" s="14" t="inlineStr">
        <is>
          <t>Confirmed</t>
        </is>
      </c>
      <c r="F276" s="14" t="inlineStr">
        <is>
          <t>No</t>
        </is>
      </c>
      <c r="G276" s="14" t="inlineStr">
        <is>
          <t>Microsoft Copilot Studio Viral Trial</t>
        </is>
      </c>
      <c r="H276" s="14" t="inlineStr">
        <is>
          <t>Likely free / trial</t>
        </is>
      </c>
      <c r="I276" s="18">
        <f>IFERROR(VLOOKUP(G276,SKU_Cost_Input!$A$2:$E$16,4,FALSE),0)</f>
        <v/>
      </c>
      <c r="J276" s="14">
        <f>IFERROR(VLOOKUP(G276,SKU_Cost_Input!$A$2:$E$16,2,FALSE),0)</f>
        <v/>
      </c>
      <c r="K276" s="18">
        <f>IF(J276=0,0,I276/J276)</f>
        <v/>
      </c>
      <c r="L276" s="18">
        <f>K276</f>
        <v/>
      </c>
      <c r="M276" s="14" t="inlineStr">
        <is>
          <t>Confirmed match to mervyng@wearcheck.co.za (reviewed)</t>
        </is>
      </c>
      <c r="N276" s="14" t="inlineStr"/>
    </row>
    <row r="277">
      <c r="A277" s="14" t="inlineStr">
        <is>
          <t>Mervyn@WearCheckRS.com</t>
        </is>
      </c>
      <c r="B277" s="14" t="inlineStr">
        <is>
          <t>Mervyn Gibbons</t>
        </is>
      </c>
      <c r="C277" s="14" t="inlineStr">
        <is>
          <t>AFS</t>
        </is>
      </c>
      <c r="D277" s="14" t="inlineStr"/>
      <c r="E277" s="14" t="inlineStr">
        <is>
          <t>Confirmed</t>
        </is>
      </c>
      <c r="F277" s="14" t="inlineStr">
        <is>
          <t>No</t>
        </is>
      </c>
      <c r="G277" s="14" t="inlineStr">
        <is>
          <t>Microsoft Power Apps for Developer</t>
        </is>
      </c>
      <c r="H277" s="14" t="inlineStr">
        <is>
          <t>Likely billable</t>
        </is>
      </c>
      <c r="I277" s="18">
        <f>IFERROR(VLOOKUP(G277,SKU_Cost_Input!$A$2:$E$16,4,FALSE),0)</f>
        <v/>
      </c>
      <c r="J277" s="14">
        <f>IFERROR(VLOOKUP(G277,SKU_Cost_Input!$A$2:$E$16,2,FALSE),0)</f>
        <v/>
      </c>
      <c r="K277" s="18">
        <f>IF(J277=0,0,I277/J277)</f>
        <v/>
      </c>
      <c r="L277" s="18">
        <f>K277</f>
        <v/>
      </c>
      <c r="M277" s="14" t="inlineStr">
        <is>
          <t>Confirmed match to mervyng@wearcheck.co.za (reviewed)</t>
        </is>
      </c>
      <c r="N277" s="14" t="inlineStr"/>
    </row>
    <row r="278">
      <c r="A278" s="14" t="inlineStr">
        <is>
          <t>Mervyn@WearCheckRS.com</t>
        </is>
      </c>
      <c r="B278" s="14" t="inlineStr">
        <is>
          <t>Mervyn Gibbons</t>
        </is>
      </c>
      <c r="C278" s="14" t="inlineStr">
        <is>
          <t>AFS</t>
        </is>
      </c>
      <c r="D278" s="14" t="inlineStr"/>
      <c r="E278" s="14" t="inlineStr">
        <is>
          <t>Confirmed</t>
        </is>
      </c>
      <c r="F278" s="14" t="inlineStr">
        <is>
          <t>No</t>
        </is>
      </c>
      <c r="G278" s="14" t="inlineStr">
        <is>
          <t>Power Pages vTrial for Makers</t>
        </is>
      </c>
      <c r="H278" s="14" t="inlineStr">
        <is>
          <t>Likely free / trial</t>
        </is>
      </c>
      <c r="I278" s="18">
        <f>IFERROR(VLOOKUP(G278,SKU_Cost_Input!$A$2:$E$16,4,FALSE),0)</f>
        <v/>
      </c>
      <c r="J278" s="14">
        <f>IFERROR(VLOOKUP(G278,SKU_Cost_Input!$A$2:$E$16,2,FALSE),0)</f>
        <v/>
      </c>
      <c r="K278" s="18">
        <f>IF(J278=0,0,I278/J278)</f>
        <v/>
      </c>
      <c r="L278" s="18">
        <f>K278</f>
        <v/>
      </c>
      <c r="M278" s="14" t="inlineStr">
        <is>
          <t>Confirmed match to mervyng@wearcheck.co.za (reviewed)</t>
        </is>
      </c>
      <c r="N278" s="14" t="inlineStr"/>
    </row>
    <row r="279">
      <c r="A279" s="14" t="inlineStr">
        <is>
          <t>Mervyn@WearCheckRS.com</t>
        </is>
      </c>
      <c r="B279" s="14" t="inlineStr">
        <is>
          <t>Mervyn Gibbons</t>
        </is>
      </c>
      <c r="C279" s="14" t="inlineStr">
        <is>
          <t>AFS</t>
        </is>
      </c>
      <c r="D279" s="14" t="inlineStr"/>
      <c r="E279" s="14" t="inlineStr">
        <is>
          <t>Confirmed</t>
        </is>
      </c>
      <c r="F279" s="14" t="inlineStr">
        <is>
          <t>No</t>
        </is>
      </c>
      <c r="G279" s="14" t="inlineStr">
        <is>
          <t>Microsoft Defender for Office 365 (Plan 2)</t>
        </is>
      </c>
      <c r="H279" s="14" t="inlineStr">
        <is>
          <t>Likely billable</t>
        </is>
      </c>
      <c r="I279" s="18">
        <f>IFERROR(VLOOKUP(G279,SKU_Cost_Input!$A$2:$E$16,4,FALSE),0)</f>
        <v/>
      </c>
      <c r="J279" s="14">
        <f>IFERROR(VLOOKUP(G279,SKU_Cost_Input!$A$2:$E$16,2,FALSE),0)</f>
        <v/>
      </c>
      <c r="K279" s="18">
        <f>IF(J279=0,0,I279/J279)</f>
        <v/>
      </c>
      <c r="L279" s="18">
        <f>K279</f>
        <v/>
      </c>
      <c r="M279" s="14" t="inlineStr">
        <is>
          <t>Confirmed match to mervyng@wearcheck.co.za (reviewed)</t>
        </is>
      </c>
      <c r="N279" s="14" t="inlineStr"/>
    </row>
    <row r="280">
      <c r="A280" s="14" t="inlineStr">
        <is>
          <t>Mervyn@WearCheckRS.com</t>
        </is>
      </c>
      <c r="B280" s="14" t="inlineStr">
        <is>
          <t>Mervyn Gibbons</t>
        </is>
      </c>
      <c r="C280" s="14" t="inlineStr">
        <is>
          <t>AFS</t>
        </is>
      </c>
      <c r="D280" s="14" t="inlineStr"/>
      <c r="E280" s="14" t="inlineStr">
        <is>
          <t>Confirmed</t>
        </is>
      </c>
      <c r="F280" s="14" t="inlineStr">
        <is>
          <t>No</t>
        </is>
      </c>
      <c r="G280" s="14" t="inlineStr">
        <is>
          <t>Dynamics 365 Customer Insights Self-Service</t>
        </is>
      </c>
      <c r="H280" s="14" t="inlineStr">
        <is>
          <t>Likely billable</t>
        </is>
      </c>
      <c r="I280" s="18">
        <f>IFERROR(VLOOKUP(G280,SKU_Cost_Input!$A$2:$E$16,4,FALSE),0)</f>
        <v/>
      </c>
      <c r="J280" s="14">
        <f>IFERROR(VLOOKUP(G280,SKU_Cost_Input!$A$2:$E$16,2,FALSE),0)</f>
        <v/>
      </c>
      <c r="K280" s="18">
        <f>IF(J280=0,0,I280/J280)</f>
        <v/>
      </c>
      <c r="L280" s="18">
        <f>K280</f>
        <v/>
      </c>
      <c r="M280" s="14" t="inlineStr">
        <is>
          <t>Confirmed match to mervyng@wearcheck.co.za (reviewed)</t>
        </is>
      </c>
      <c r="N280" s="14" t="inlineStr"/>
    </row>
    <row r="281">
      <c r="A281" s="14" t="inlineStr">
        <is>
          <t>meshack@WearCheckRS.com</t>
        </is>
      </c>
      <c r="B281" s="14" t="inlineStr">
        <is>
          <t>Meshack Nxumalo</t>
        </is>
      </c>
      <c r="C281" s="14" t="inlineStr">
        <is>
          <t>RS</t>
        </is>
      </c>
      <c r="D281" s="14" t="inlineStr">
        <is>
          <t>WEC088</t>
        </is>
      </c>
      <c r="E281" s="14" t="inlineStr">
        <is>
          <t>Matched</t>
        </is>
      </c>
      <c r="F281" s="14" t="inlineStr">
        <is>
          <t>No</t>
        </is>
      </c>
      <c r="G281" s="14" t="inlineStr">
        <is>
          <t>Microsoft Defender for Office 365 (Plan 2)</t>
        </is>
      </c>
      <c r="H281" s="14" t="inlineStr">
        <is>
          <t>Likely billable</t>
        </is>
      </c>
      <c r="I281" s="18">
        <f>IFERROR(VLOOKUP(G281,SKU_Cost_Input!$A$2:$E$16,4,FALSE),0)</f>
        <v/>
      </c>
      <c r="J281" s="14">
        <f>IFERROR(VLOOKUP(G281,SKU_Cost_Input!$A$2:$E$16,2,FALSE),0)</f>
        <v/>
      </c>
      <c r="K281" s="18">
        <f>IF(J281=0,0,I281/J281)</f>
        <v/>
      </c>
      <c r="L281" s="18">
        <f>K281</f>
        <v/>
      </c>
      <c r="M281" s="14" t="inlineStr">
        <is>
          <t>Exact company email match</t>
        </is>
      </c>
      <c r="N281" s="14" t="inlineStr"/>
    </row>
    <row r="282">
      <c r="A282" s="14" t="inlineStr">
        <is>
          <t>meshack@WearCheckRS.com</t>
        </is>
      </c>
      <c r="B282" s="14" t="inlineStr">
        <is>
          <t>Meshack Nxumalo</t>
        </is>
      </c>
      <c r="C282" s="14" t="inlineStr">
        <is>
          <t>RS</t>
        </is>
      </c>
      <c r="D282" s="14" t="inlineStr">
        <is>
          <t>WEC088</t>
        </is>
      </c>
      <c r="E282" s="14" t="inlineStr">
        <is>
          <t>Matched</t>
        </is>
      </c>
      <c r="F282" s="14" t="inlineStr">
        <is>
          <t>No</t>
        </is>
      </c>
      <c r="G282" s="14" t="inlineStr">
        <is>
          <t>Microsoft 365 Business Standard</t>
        </is>
      </c>
      <c r="H282" s="14" t="inlineStr">
        <is>
          <t>Likely billable</t>
        </is>
      </c>
      <c r="I282" s="18">
        <f>IFERROR(VLOOKUP(G282,SKU_Cost_Input!$A$2:$E$16,4,FALSE),0)</f>
        <v/>
      </c>
      <c r="J282" s="14">
        <f>IFERROR(VLOOKUP(G282,SKU_Cost_Input!$A$2:$E$16,2,FALSE),0)</f>
        <v/>
      </c>
      <c r="K282" s="18">
        <f>IF(J282=0,0,I282/J282)</f>
        <v/>
      </c>
      <c r="L282" s="18">
        <f>K282</f>
        <v/>
      </c>
      <c r="M282" s="14" t="inlineStr">
        <is>
          <t>Exact company email match</t>
        </is>
      </c>
      <c r="N282" s="14" t="inlineStr">
        <is>
          <t>Review: Business Standard — consider Business Basic if sufficient</t>
        </is>
      </c>
    </row>
    <row r="283">
      <c r="A283" s="14" t="inlineStr">
        <is>
          <t>michealm@WearCheckRS.com</t>
        </is>
      </c>
      <c r="B283" s="14" t="inlineStr">
        <is>
          <t>Micheal Masemola</t>
        </is>
      </c>
      <c r="C283" s="14" t="inlineStr">
        <is>
          <t>RS</t>
        </is>
      </c>
      <c r="D283" s="14" t="inlineStr">
        <is>
          <t>WC291</t>
        </is>
      </c>
      <c r="E283" s="14" t="inlineStr">
        <is>
          <t>Matched</t>
        </is>
      </c>
      <c r="F283" s="14" t="inlineStr">
        <is>
          <t>No</t>
        </is>
      </c>
      <c r="G283" s="14" t="inlineStr">
        <is>
          <t>Microsoft Defender for Office 365 (Plan 2)</t>
        </is>
      </c>
      <c r="H283" s="14" t="inlineStr">
        <is>
          <t>Likely billable</t>
        </is>
      </c>
      <c r="I283" s="18">
        <f>IFERROR(VLOOKUP(G283,SKU_Cost_Input!$A$2:$E$16,4,FALSE),0)</f>
        <v/>
      </c>
      <c r="J283" s="14">
        <f>IFERROR(VLOOKUP(G283,SKU_Cost_Input!$A$2:$E$16,2,FALSE),0)</f>
        <v/>
      </c>
      <c r="K283" s="18">
        <f>IF(J283=0,0,I283/J283)</f>
        <v/>
      </c>
      <c r="L283" s="18">
        <f>K283</f>
        <v/>
      </c>
      <c r="M283" s="14" t="inlineStr">
        <is>
          <t>Exact company email match</t>
        </is>
      </c>
      <c r="N283" s="14" t="inlineStr"/>
    </row>
    <row r="284">
      <c r="A284" s="14" t="inlineStr">
        <is>
          <t>michealm@WearCheckRS.com</t>
        </is>
      </c>
      <c r="B284" s="14" t="inlineStr">
        <is>
          <t>Micheal Masemola</t>
        </is>
      </c>
      <c r="C284" s="14" t="inlineStr">
        <is>
          <t>RS</t>
        </is>
      </c>
      <c r="D284" s="14" t="inlineStr">
        <is>
          <t>WC291</t>
        </is>
      </c>
      <c r="E284" s="14" t="inlineStr">
        <is>
          <t>Matched</t>
        </is>
      </c>
      <c r="F284" s="14" t="inlineStr">
        <is>
          <t>No</t>
        </is>
      </c>
      <c r="G284" s="14" t="inlineStr">
        <is>
          <t>Microsoft 365 Business Standard</t>
        </is>
      </c>
      <c r="H284" s="14" t="inlineStr">
        <is>
          <t>Likely billable</t>
        </is>
      </c>
      <c r="I284" s="18">
        <f>IFERROR(VLOOKUP(G284,SKU_Cost_Input!$A$2:$E$16,4,FALSE),0)</f>
        <v/>
      </c>
      <c r="J284" s="14">
        <f>IFERROR(VLOOKUP(G284,SKU_Cost_Input!$A$2:$E$16,2,FALSE),0)</f>
        <v/>
      </c>
      <c r="K284" s="18">
        <f>IF(J284=0,0,I284/J284)</f>
        <v/>
      </c>
      <c r="L284" s="18">
        <f>K284</f>
        <v/>
      </c>
      <c r="M284" s="14" t="inlineStr">
        <is>
          <t>Exact company email match</t>
        </is>
      </c>
      <c r="N284" s="14" t="inlineStr">
        <is>
          <t>Review: Business Standard — consider Business Basic if sufficient</t>
        </is>
      </c>
    </row>
    <row r="285">
      <c r="A285" s="14" t="inlineStr">
        <is>
          <t>micheal@WearCheckRS.com</t>
        </is>
      </c>
      <c r="B285" s="14" t="inlineStr">
        <is>
          <t>Micheal Pretorius</t>
        </is>
      </c>
      <c r="C285" s="14" t="inlineStr">
        <is>
          <t>RS</t>
        </is>
      </c>
      <c r="D285" s="14" t="inlineStr">
        <is>
          <t>WEC076</t>
        </is>
      </c>
      <c r="E285" s="14" t="inlineStr">
        <is>
          <t>Matched</t>
        </is>
      </c>
      <c r="F285" s="14" t="inlineStr">
        <is>
          <t>No</t>
        </is>
      </c>
      <c r="G285" s="14" t="inlineStr">
        <is>
          <t>Microsoft Defender for Office 365 (Plan 2)</t>
        </is>
      </c>
      <c r="H285" s="14" t="inlineStr">
        <is>
          <t>Likely billable</t>
        </is>
      </c>
      <c r="I285" s="18">
        <f>IFERROR(VLOOKUP(G285,SKU_Cost_Input!$A$2:$E$16,4,FALSE),0)</f>
        <v/>
      </c>
      <c r="J285" s="14">
        <f>IFERROR(VLOOKUP(G285,SKU_Cost_Input!$A$2:$E$16,2,FALSE),0)</f>
        <v/>
      </c>
      <c r="K285" s="18">
        <f>IF(J285=0,0,I285/J285)</f>
        <v/>
      </c>
      <c r="L285" s="18">
        <f>K285</f>
        <v/>
      </c>
      <c r="M285" s="14" t="inlineStr">
        <is>
          <t>Exact company email match</t>
        </is>
      </c>
      <c r="N285" s="14" t="inlineStr"/>
    </row>
    <row r="286">
      <c r="A286" s="14" t="inlineStr">
        <is>
          <t>micheal@WearCheckRS.com</t>
        </is>
      </c>
      <c r="B286" s="14" t="inlineStr">
        <is>
          <t>Micheal Pretorius</t>
        </is>
      </c>
      <c r="C286" s="14" t="inlineStr">
        <is>
          <t>RS</t>
        </is>
      </c>
      <c r="D286" s="14" t="inlineStr">
        <is>
          <t>WEC076</t>
        </is>
      </c>
      <c r="E286" s="14" t="inlineStr">
        <is>
          <t>Matched</t>
        </is>
      </c>
      <c r="F286" s="14" t="inlineStr">
        <is>
          <t>No</t>
        </is>
      </c>
      <c r="G286" s="14" t="inlineStr">
        <is>
          <t>Microsoft Power Automate Free</t>
        </is>
      </c>
      <c r="H286" s="14" t="inlineStr">
        <is>
          <t>Likely free / trial</t>
        </is>
      </c>
      <c r="I286" s="18">
        <f>IFERROR(VLOOKUP(G286,SKU_Cost_Input!$A$2:$E$16,4,FALSE),0)</f>
        <v/>
      </c>
      <c r="J286" s="14">
        <f>IFERROR(VLOOKUP(G286,SKU_Cost_Input!$A$2:$E$16,2,FALSE),0)</f>
        <v/>
      </c>
      <c r="K286" s="18">
        <f>IF(J286=0,0,I286/J286)</f>
        <v/>
      </c>
      <c r="L286" s="18">
        <f>K286</f>
        <v/>
      </c>
      <c r="M286" s="14" t="inlineStr">
        <is>
          <t>Exact company email match</t>
        </is>
      </c>
      <c r="N286" s="14" t="inlineStr"/>
    </row>
    <row r="287">
      <c r="A287" s="14" t="inlineStr">
        <is>
          <t>micheal@WearCheckRS.com</t>
        </is>
      </c>
      <c r="B287" s="14" t="inlineStr">
        <is>
          <t>Micheal Pretorius</t>
        </is>
      </c>
      <c r="C287" s="14" t="inlineStr">
        <is>
          <t>RS</t>
        </is>
      </c>
      <c r="D287" s="14" t="inlineStr">
        <is>
          <t>WEC076</t>
        </is>
      </c>
      <c r="E287" s="14" t="inlineStr">
        <is>
          <t>Matched</t>
        </is>
      </c>
      <c r="F287" s="14" t="inlineStr">
        <is>
          <t>No</t>
        </is>
      </c>
      <c r="G287" s="14" t="inlineStr">
        <is>
          <t>Microsoft 365 Business Standard</t>
        </is>
      </c>
      <c r="H287" s="14" t="inlineStr">
        <is>
          <t>Likely billable</t>
        </is>
      </c>
      <c r="I287" s="18">
        <f>IFERROR(VLOOKUP(G287,SKU_Cost_Input!$A$2:$E$16,4,FALSE),0)</f>
        <v/>
      </c>
      <c r="J287" s="14">
        <f>IFERROR(VLOOKUP(G287,SKU_Cost_Input!$A$2:$E$16,2,FALSE),0)</f>
        <v/>
      </c>
      <c r="K287" s="18">
        <f>IF(J287=0,0,I287/J287)</f>
        <v/>
      </c>
      <c r="L287" s="18">
        <f>K287</f>
        <v/>
      </c>
      <c r="M287" s="14" t="inlineStr">
        <is>
          <t>Exact company email match</t>
        </is>
      </c>
      <c r="N287" s="14" t="inlineStr">
        <is>
          <t>Review: Business Standard — consider Business Basic if sufficient</t>
        </is>
      </c>
    </row>
    <row r="288">
      <c r="A288" s="14" t="inlineStr">
        <is>
          <t>MikeS@WearCheckRS.com</t>
        </is>
      </c>
      <c r="B288" s="14" t="inlineStr">
        <is>
          <t>Mike Shongwe</t>
        </is>
      </c>
      <c r="C288" s="14" t="inlineStr">
        <is>
          <t>AFS</t>
        </is>
      </c>
      <c r="D288" s="14" t="inlineStr">
        <is>
          <t>WC483</t>
        </is>
      </c>
      <c r="E288" s="14" t="inlineStr">
        <is>
          <t>Matched</t>
        </is>
      </c>
      <c r="F288" s="14" t="inlineStr">
        <is>
          <t>No</t>
        </is>
      </c>
      <c r="G288" s="14" t="inlineStr">
        <is>
          <t>Microsoft Defender for Office 365 (Plan 2)</t>
        </is>
      </c>
      <c r="H288" s="14" t="inlineStr">
        <is>
          <t>Likely billable</t>
        </is>
      </c>
      <c r="I288" s="18">
        <f>IFERROR(VLOOKUP(G288,SKU_Cost_Input!$A$2:$E$16,4,FALSE),0)</f>
        <v/>
      </c>
      <c r="J288" s="14">
        <f>IFERROR(VLOOKUP(G288,SKU_Cost_Input!$A$2:$E$16,2,FALSE),0)</f>
        <v/>
      </c>
      <c r="K288" s="18">
        <f>IF(J288=0,0,I288/J288)</f>
        <v/>
      </c>
      <c r="L288" s="18">
        <f>K288</f>
        <v/>
      </c>
      <c r="M288" s="14" t="inlineStr">
        <is>
          <t>Matched via email alias/local-part</t>
        </is>
      </c>
      <c r="N288" s="14" t="inlineStr"/>
    </row>
    <row r="289">
      <c r="A289" s="14" t="inlineStr">
        <is>
          <t>MikeS@WearCheckRS.com</t>
        </is>
      </c>
      <c r="B289" s="14" t="inlineStr">
        <is>
          <t>Mike Shongwe</t>
        </is>
      </c>
      <c r="C289" s="14" t="inlineStr">
        <is>
          <t>AFS</t>
        </is>
      </c>
      <c r="D289" s="14" t="inlineStr">
        <is>
          <t>WC483</t>
        </is>
      </c>
      <c r="E289" s="14" t="inlineStr">
        <is>
          <t>Matched</t>
        </is>
      </c>
      <c r="F289" s="14" t="inlineStr">
        <is>
          <t>No</t>
        </is>
      </c>
      <c r="G289" s="14" t="inlineStr">
        <is>
          <t>Microsoft 365 Business Standard</t>
        </is>
      </c>
      <c r="H289" s="14" t="inlineStr">
        <is>
          <t>Likely billable</t>
        </is>
      </c>
      <c r="I289" s="18">
        <f>IFERROR(VLOOKUP(G289,SKU_Cost_Input!$A$2:$E$16,4,FALSE),0)</f>
        <v/>
      </c>
      <c r="J289" s="14">
        <f>IFERROR(VLOOKUP(G289,SKU_Cost_Input!$A$2:$E$16,2,FALSE),0)</f>
        <v/>
      </c>
      <c r="K289" s="18">
        <f>IF(J289=0,0,I289/J289)</f>
        <v/>
      </c>
      <c r="L289" s="18">
        <f>K289</f>
        <v/>
      </c>
      <c r="M289" s="14" t="inlineStr">
        <is>
          <t>Matched via email alias/local-part</t>
        </is>
      </c>
      <c r="N289" s="14" t="inlineStr">
        <is>
          <t>Review: Business Standard — consider Business Basic if sufficient</t>
        </is>
      </c>
    </row>
    <row r="290">
      <c r="A290" s="14" t="inlineStr">
        <is>
          <t>mornea@wearcheckrs.com</t>
        </is>
      </c>
      <c r="B290" s="14" t="inlineStr">
        <is>
          <t>Morne Alberts</t>
        </is>
      </c>
      <c r="C290" s="14" t="inlineStr">
        <is>
          <t>RS</t>
        </is>
      </c>
      <c r="D290" s="14" t="inlineStr">
        <is>
          <t>WC361</t>
        </is>
      </c>
      <c r="E290" s="14" t="inlineStr">
        <is>
          <t>Matched</t>
        </is>
      </c>
      <c r="F290" s="14" t="inlineStr">
        <is>
          <t>No</t>
        </is>
      </c>
      <c r="G290" s="14" t="inlineStr">
        <is>
          <t>Microsoft 365 Business Premium</t>
        </is>
      </c>
      <c r="H290" s="14" t="inlineStr">
        <is>
          <t>Likely billable</t>
        </is>
      </c>
      <c r="I290" s="18">
        <f>IFERROR(VLOOKUP(G290,SKU_Cost_Input!$A$2:$E$16,4,FALSE),0)</f>
        <v/>
      </c>
      <c r="J290" s="14">
        <f>IFERROR(VLOOKUP(G290,SKU_Cost_Input!$A$2:$E$16,2,FALSE),0)</f>
        <v/>
      </c>
      <c r="K290" s="18">
        <f>IF(J290=0,0,I290/J290)</f>
        <v/>
      </c>
      <c r="L290" s="18">
        <f>K290</f>
        <v/>
      </c>
      <c r="M290" s="14" t="inlineStr">
        <is>
          <t>Exact company email match</t>
        </is>
      </c>
      <c r="N290" s="14" t="inlineStr">
        <is>
          <t>Review: Business Premium — consider Business Basic/Standard</t>
        </is>
      </c>
    </row>
    <row r="291">
      <c r="A291" s="14" t="inlineStr">
        <is>
          <t>mornea@wearcheckrs.com</t>
        </is>
      </c>
      <c r="B291" s="14" t="inlineStr">
        <is>
          <t>Morne Alberts</t>
        </is>
      </c>
      <c r="C291" s="14" t="inlineStr">
        <is>
          <t>RS</t>
        </is>
      </c>
      <c r="D291" s="14" t="inlineStr">
        <is>
          <t>WC361</t>
        </is>
      </c>
      <c r="E291" s="14" t="inlineStr">
        <is>
          <t>Matched</t>
        </is>
      </c>
      <c r="F291" s="14" t="inlineStr">
        <is>
          <t>No</t>
        </is>
      </c>
      <c r="G291" s="14" t="inlineStr">
        <is>
          <t>Microsoft Defender for Office 365 (Plan 2)</t>
        </is>
      </c>
      <c r="H291" s="14" t="inlineStr">
        <is>
          <t>Likely billable</t>
        </is>
      </c>
      <c r="I291" s="18">
        <f>IFERROR(VLOOKUP(G291,SKU_Cost_Input!$A$2:$E$16,4,FALSE),0)</f>
        <v/>
      </c>
      <c r="J291" s="14">
        <f>IFERROR(VLOOKUP(G291,SKU_Cost_Input!$A$2:$E$16,2,FALSE),0)</f>
        <v/>
      </c>
      <c r="K291" s="18">
        <f>IF(J291=0,0,I291/J291)</f>
        <v/>
      </c>
      <c r="L291" s="18">
        <f>K291</f>
        <v/>
      </c>
      <c r="M291" s="14" t="inlineStr">
        <is>
          <t>Exact company email match</t>
        </is>
      </c>
      <c r="N291" s="14" t="inlineStr"/>
    </row>
    <row r="292">
      <c r="A292" s="14" t="inlineStr">
        <is>
          <t>mornea@wearcheckrs.com</t>
        </is>
      </c>
      <c r="B292" s="14" t="inlineStr">
        <is>
          <t>Morne Alberts</t>
        </is>
      </c>
      <c r="C292" s="14" t="inlineStr">
        <is>
          <t>RS</t>
        </is>
      </c>
      <c r="D292" s="14" t="inlineStr">
        <is>
          <t>WC361</t>
        </is>
      </c>
      <c r="E292" s="14" t="inlineStr">
        <is>
          <t>Matched</t>
        </is>
      </c>
      <c r="F292" s="14" t="inlineStr">
        <is>
          <t>No</t>
        </is>
      </c>
      <c r="G292" s="14" t="inlineStr">
        <is>
          <t>Microsoft Fabric (Free)</t>
        </is>
      </c>
      <c r="H292" s="14" t="inlineStr">
        <is>
          <t>Likely free / trial</t>
        </is>
      </c>
      <c r="I292" s="18">
        <f>IFERROR(VLOOKUP(G292,SKU_Cost_Input!$A$2:$E$16,4,FALSE),0)</f>
        <v/>
      </c>
      <c r="J292" s="14">
        <f>IFERROR(VLOOKUP(G292,SKU_Cost_Input!$A$2:$E$16,2,FALSE),0)</f>
        <v/>
      </c>
      <c r="K292" s="18">
        <f>IF(J292=0,0,I292/J292)</f>
        <v/>
      </c>
      <c r="L292" s="18">
        <f>K292</f>
        <v/>
      </c>
      <c r="M292" s="14" t="inlineStr">
        <is>
          <t>Exact company email match</t>
        </is>
      </c>
      <c r="N292" s="14" t="inlineStr"/>
    </row>
    <row r="293">
      <c r="A293" s="14" t="inlineStr">
        <is>
          <t>Muhamad@WearCheckRS.com</t>
        </is>
      </c>
      <c r="B293" s="14" t="inlineStr">
        <is>
          <t>Muhamad Ikram Hanif</t>
        </is>
      </c>
      <c r="C293" s="14" t="inlineStr">
        <is>
          <t>Mozambique</t>
        </is>
      </c>
      <c r="D293" s="14" t="inlineStr">
        <is>
          <t>Unknown</t>
        </is>
      </c>
      <c r="E293" s="14" t="inlineStr">
        <is>
          <t>Matched</t>
        </is>
      </c>
      <c r="F293" s="14" t="inlineStr">
        <is>
          <t>No</t>
        </is>
      </c>
      <c r="G293" s="14" t="inlineStr">
        <is>
          <t>Microsoft Defender for Office 365 (Plan 2)</t>
        </is>
      </c>
      <c r="H293" s="14" t="inlineStr">
        <is>
          <t>Likely billable</t>
        </is>
      </c>
      <c r="I293" s="18">
        <f>IFERROR(VLOOKUP(G293,SKU_Cost_Input!$A$2:$E$16,4,FALSE),0)</f>
        <v/>
      </c>
      <c r="J293" s="14">
        <f>IFERROR(VLOOKUP(G293,SKU_Cost_Input!$A$2:$E$16,2,FALSE),0)</f>
        <v/>
      </c>
      <c r="K293" s="18">
        <f>IF(J293=0,0,I293/J293)</f>
        <v/>
      </c>
      <c r="L293" s="18">
        <f>K293</f>
        <v/>
      </c>
      <c r="M293" s="14" t="inlineStr">
        <is>
          <t>Exact company email match</t>
        </is>
      </c>
      <c r="N293" s="14" t="inlineStr"/>
    </row>
    <row r="294">
      <c r="A294" s="14" t="inlineStr">
        <is>
          <t>Muhamad@WearCheckRS.com</t>
        </is>
      </c>
      <c r="B294" s="14" t="inlineStr">
        <is>
          <t>Muhamad Ikram Hanif</t>
        </is>
      </c>
      <c r="C294" s="14" t="inlineStr">
        <is>
          <t>Mozambique</t>
        </is>
      </c>
      <c r="D294" s="14" t="inlineStr">
        <is>
          <t>Unknown</t>
        </is>
      </c>
      <c r="E294" s="14" t="inlineStr">
        <is>
          <t>Matched</t>
        </is>
      </c>
      <c r="F294" s="14" t="inlineStr">
        <is>
          <t>No</t>
        </is>
      </c>
      <c r="G294" s="14" t="inlineStr">
        <is>
          <t>Microsoft Fabric (Free)</t>
        </is>
      </c>
      <c r="H294" s="14" t="inlineStr">
        <is>
          <t>Likely free / trial</t>
        </is>
      </c>
      <c r="I294" s="18">
        <f>IFERROR(VLOOKUP(G294,SKU_Cost_Input!$A$2:$E$16,4,FALSE),0)</f>
        <v/>
      </c>
      <c r="J294" s="14">
        <f>IFERROR(VLOOKUP(G294,SKU_Cost_Input!$A$2:$E$16,2,FALSE),0)</f>
        <v/>
      </c>
      <c r="K294" s="18">
        <f>IF(J294=0,0,I294/J294)</f>
        <v/>
      </c>
      <c r="L294" s="18">
        <f>K294</f>
        <v/>
      </c>
      <c r="M294" s="14" t="inlineStr">
        <is>
          <t>Exact company email match</t>
        </is>
      </c>
      <c r="N294" s="14" t="inlineStr"/>
    </row>
    <row r="295">
      <c r="A295" s="14" t="inlineStr">
        <is>
          <t>Muhamad@WearCheckRS.com</t>
        </is>
      </c>
      <c r="B295" s="14" t="inlineStr">
        <is>
          <t>Muhamad Ikram Hanif</t>
        </is>
      </c>
      <c r="C295" s="14" t="inlineStr">
        <is>
          <t>Mozambique</t>
        </is>
      </c>
      <c r="D295" s="14" t="inlineStr">
        <is>
          <t>Unknown</t>
        </is>
      </c>
      <c r="E295" s="14" t="inlineStr">
        <is>
          <t>Matched</t>
        </is>
      </c>
      <c r="F295" s="14" t="inlineStr">
        <is>
          <t>No</t>
        </is>
      </c>
      <c r="G295" s="14" t="inlineStr">
        <is>
          <t>Microsoft 365 Business Standard</t>
        </is>
      </c>
      <c r="H295" s="14" t="inlineStr">
        <is>
          <t>Likely billable</t>
        </is>
      </c>
      <c r="I295" s="18">
        <f>IFERROR(VLOOKUP(G295,SKU_Cost_Input!$A$2:$E$16,4,FALSE),0)</f>
        <v/>
      </c>
      <c r="J295" s="14">
        <f>IFERROR(VLOOKUP(G295,SKU_Cost_Input!$A$2:$E$16,2,FALSE),0)</f>
        <v/>
      </c>
      <c r="K295" s="18">
        <f>IF(J295=0,0,I295/J295)</f>
        <v/>
      </c>
      <c r="L295" s="18">
        <f>K295</f>
        <v/>
      </c>
      <c r="M295" s="14" t="inlineStr">
        <is>
          <t>Exact company email match</t>
        </is>
      </c>
      <c r="N295" s="14" t="inlineStr">
        <is>
          <t>Review: Business Standard — consider Business Basic if sufficient</t>
        </is>
      </c>
    </row>
    <row r="296">
      <c r="A296" s="14" t="inlineStr">
        <is>
          <t>Nadhira@WearCheckRS.com</t>
        </is>
      </c>
      <c r="B296" s="14" t="inlineStr">
        <is>
          <t>Nadhira Bux</t>
        </is>
      </c>
      <c r="C296" s="14" t="inlineStr">
        <is>
          <t>RS</t>
        </is>
      </c>
      <c r="D296" s="14" t="inlineStr">
        <is>
          <t>WEC113</t>
        </is>
      </c>
      <c r="E296" s="14" t="inlineStr">
        <is>
          <t>Matched</t>
        </is>
      </c>
      <c r="F296" s="14" t="inlineStr">
        <is>
          <t>No</t>
        </is>
      </c>
      <c r="G296" s="14" t="inlineStr">
        <is>
          <t>Microsoft 365 Business Premium</t>
        </is>
      </c>
      <c r="H296" s="14" t="inlineStr">
        <is>
          <t>Likely billable</t>
        </is>
      </c>
      <c r="I296" s="18">
        <f>IFERROR(VLOOKUP(G296,SKU_Cost_Input!$A$2:$E$16,4,FALSE),0)</f>
        <v/>
      </c>
      <c r="J296" s="14">
        <f>IFERROR(VLOOKUP(G296,SKU_Cost_Input!$A$2:$E$16,2,FALSE),0)</f>
        <v/>
      </c>
      <c r="K296" s="18">
        <f>IF(J296=0,0,I296/J296)</f>
        <v/>
      </c>
      <c r="L296" s="18">
        <f>K296</f>
        <v/>
      </c>
      <c r="M296" s="14" t="inlineStr">
        <is>
          <t>Exact company email match</t>
        </is>
      </c>
      <c r="N296" s="14" t="inlineStr">
        <is>
          <t>Review: Business Premium — consider Business Basic/Standard</t>
        </is>
      </c>
    </row>
    <row r="297">
      <c r="A297" s="14" t="inlineStr">
        <is>
          <t>Nadhira@WearCheckRS.com</t>
        </is>
      </c>
      <c r="B297" s="14" t="inlineStr">
        <is>
          <t>Nadhira Bux</t>
        </is>
      </c>
      <c r="C297" s="14" t="inlineStr">
        <is>
          <t>RS</t>
        </is>
      </c>
      <c r="D297" s="14" t="inlineStr">
        <is>
          <t>WEC113</t>
        </is>
      </c>
      <c r="E297" s="14" t="inlineStr">
        <is>
          <t>Matched</t>
        </is>
      </c>
      <c r="F297" s="14" t="inlineStr">
        <is>
          <t>No</t>
        </is>
      </c>
      <c r="G297" s="14" t="inlineStr">
        <is>
          <t>Microsoft Defender for Office 365 (Plan 2)</t>
        </is>
      </c>
      <c r="H297" s="14" t="inlineStr">
        <is>
          <t>Likely billable</t>
        </is>
      </c>
      <c r="I297" s="18">
        <f>IFERROR(VLOOKUP(G297,SKU_Cost_Input!$A$2:$E$16,4,FALSE),0)</f>
        <v/>
      </c>
      <c r="J297" s="14">
        <f>IFERROR(VLOOKUP(G297,SKU_Cost_Input!$A$2:$E$16,2,FALSE),0)</f>
        <v/>
      </c>
      <c r="K297" s="18">
        <f>IF(J297=0,0,I297/J297)</f>
        <v/>
      </c>
      <c r="L297" s="18">
        <f>K297</f>
        <v/>
      </c>
      <c r="M297" s="14" t="inlineStr">
        <is>
          <t>Exact company email match</t>
        </is>
      </c>
      <c r="N297" s="14" t="inlineStr"/>
    </row>
    <row r="298">
      <c r="A298" s="14" t="inlineStr">
        <is>
          <t>Nadhira@WearCheckRS.com</t>
        </is>
      </c>
      <c r="B298" s="14" t="inlineStr">
        <is>
          <t>Nadhira Bux</t>
        </is>
      </c>
      <c r="C298" s="14" t="inlineStr">
        <is>
          <t>RS</t>
        </is>
      </c>
      <c r="D298" s="14" t="inlineStr">
        <is>
          <t>WEC113</t>
        </is>
      </c>
      <c r="E298" s="14" t="inlineStr">
        <is>
          <t>Matched</t>
        </is>
      </c>
      <c r="F298" s="14" t="inlineStr">
        <is>
          <t>No</t>
        </is>
      </c>
      <c r="G298" s="14" t="inlineStr">
        <is>
          <t>Microsoft Power Apps for Developer</t>
        </is>
      </c>
      <c r="H298" s="14" t="inlineStr">
        <is>
          <t>Likely billable</t>
        </is>
      </c>
      <c r="I298" s="18">
        <f>IFERROR(VLOOKUP(G298,SKU_Cost_Input!$A$2:$E$16,4,FALSE),0)</f>
        <v/>
      </c>
      <c r="J298" s="14">
        <f>IFERROR(VLOOKUP(G298,SKU_Cost_Input!$A$2:$E$16,2,FALSE),0)</f>
        <v/>
      </c>
      <c r="K298" s="18">
        <f>IF(J298=0,0,I298/J298)</f>
        <v/>
      </c>
      <c r="L298" s="18">
        <f>K298</f>
        <v/>
      </c>
      <c r="M298" s="14" t="inlineStr">
        <is>
          <t>Exact company email match</t>
        </is>
      </c>
      <c r="N298" s="14" t="inlineStr"/>
    </row>
    <row r="299">
      <c r="A299" s="14" t="inlineStr">
        <is>
          <t>Nadhira@WearCheckRS.com</t>
        </is>
      </c>
      <c r="B299" s="14" t="inlineStr">
        <is>
          <t>Nadhira Bux</t>
        </is>
      </c>
      <c r="C299" s="14" t="inlineStr">
        <is>
          <t>RS</t>
        </is>
      </c>
      <c r="D299" s="14" t="inlineStr">
        <is>
          <t>WEC113</t>
        </is>
      </c>
      <c r="E299" s="14" t="inlineStr">
        <is>
          <t>Matched</t>
        </is>
      </c>
      <c r="F299" s="14" t="inlineStr">
        <is>
          <t>No</t>
        </is>
      </c>
      <c r="G299" s="14" t="inlineStr">
        <is>
          <t>Power Pages vTrial for Makers</t>
        </is>
      </c>
      <c r="H299" s="14" t="inlineStr">
        <is>
          <t>Likely free / trial</t>
        </is>
      </c>
      <c r="I299" s="18">
        <f>IFERROR(VLOOKUP(G299,SKU_Cost_Input!$A$2:$E$16,4,FALSE),0)</f>
        <v/>
      </c>
      <c r="J299" s="14">
        <f>IFERROR(VLOOKUP(G299,SKU_Cost_Input!$A$2:$E$16,2,FALSE),0)</f>
        <v/>
      </c>
      <c r="K299" s="18">
        <f>IF(J299=0,0,I299/J299)</f>
        <v/>
      </c>
      <c r="L299" s="18">
        <f>K299</f>
        <v/>
      </c>
      <c r="M299" s="14" t="inlineStr">
        <is>
          <t>Exact company email match</t>
        </is>
      </c>
      <c r="N299" s="14" t="inlineStr"/>
    </row>
    <row r="300">
      <c r="A300" s="14" t="inlineStr">
        <is>
          <t>Nadhira@WearCheckRS.com</t>
        </is>
      </c>
      <c r="B300" s="14" t="inlineStr">
        <is>
          <t>Nadhira Bux</t>
        </is>
      </c>
      <c r="C300" s="14" t="inlineStr">
        <is>
          <t>RS</t>
        </is>
      </c>
      <c r="D300" s="14" t="inlineStr">
        <is>
          <t>WEC113</t>
        </is>
      </c>
      <c r="E300" s="14" t="inlineStr">
        <is>
          <t>Matched</t>
        </is>
      </c>
      <c r="F300" s="14" t="inlineStr">
        <is>
          <t>No</t>
        </is>
      </c>
      <c r="G300" s="14" t="inlineStr">
        <is>
          <t>Microsoft Copilot Studio Viral Trial</t>
        </is>
      </c>
      <c r="H300" s="14" t="inlineStr">
        <is>
          <t>Likely free / trial</t>
        </is>
      </c>
      <c r="I300" s="18">
        <f>IFERROR(VLOOKUP(G300,SKU_Cost_Input!$A$2:$E$16,4,FALSE),0)</f>
        <v/>
      </c>
      <c r="J300" s="14">
        <f>IFERROR(VLOOKUP(G300,SKU_Cost_Input!$A$2:$E$16,2,FALSE),0)</f>
        <v/>
      </c>
      <c r="K300" s="18">
        <f>IF(J300=0,0,I300/J300)</f>
        <v/>
      </c>
      <c r="L300" s="18">
        <f>K300</f>
        <v/>
      </c>
      <c r="M300" s="14" t="inlineStr">
        <is>
          <t>Exact company email match</t>
        </is>
      </c>
      <c r="N300" s="14" t="inlineStr"/>
    </row>
    <row r="301">
      <c r="A301" s="14" t="inlineStr">
        <is>
          <t>Nadhira@WearCheckRS.com</t>
        </is>
      </c>
      <c r="B301" s="14" t="inlineStr">
        <is>
          <t>Nadhira Bux</t>
        </is>
      </c>
      <c r="C301" s="14" t="inlineStr">
        <is>
          <t>RS</t>
        </is>
      </c>
      <c r="D301" s="14" t="inlineStr">
        <is>
          <t>WEC113</t>
        </is>
      </c>
      <c r="E301" s="14" t="inlineStr">
        <is>
          <t>Matched</t>
        </is>
      </c>
      <c r="F301" s="14" t="inlineStr">
        <is>
          <t>No</t>
        </is>
      </c>
      <c r="G301" s="14" t="inlineStr">
        <is>
          <t>Microsoft Power Automate Free</t>
        </is>
      </c>
      <c r="H301" s="14" t="inlineStr">
        <is>
          <t>Likely free / trial</t>
        </is>
      </c>
      <c r="I301" s="18">
        <f>IFERROR(VLOOKUP(G301,SKU_Cost_Input!$A$2:$E$16,4,FALSE),0)</f>
        <v/>
      </c>
      <c r="J301" s="14">
        <f>IFERROR(VLOOKUP(G301,SKU_Cost_Input!$A$2:$E$16,2,FALSE),0)</f>
        <v/>
      </c>
      <c r="K301" s="18">
        <f>IF(J301=0,0,I301/J301)</f>
        <v/>
      </c>
      <c r="L301" s="18">
        <f>K301</f>
        <v/>
      </c>
      <c r="M301" s="14" t="inlineStr">
        <is>
          <t>Exact company email match</t>
        </is>
      </c>
      <c r="N301" s="14" t="inlineStr"/>
    </row>
    <row r="302">
      <c r="A302" s="14" t="inlineStr">
        <is>
          <t>Nadhira@WearCheckRS.com</t>
        </is>
      </c>
      <c r="B302" s="14" t="inlineStr">
        <is>
          <t>Nadhira Bux</t>
        </is>
      </c>
      <c r="C302" s="14" t="inlineStr">
        <is>
          <t>RS</t>
        </is>
      </c>
      <c r="D302" s="14" t="inlineStr">
        <is>
          <t>WEC113</t>
        </is>
      </c>
      <c r="E302" s="14" t="inlineStr">
        <is>
          <t>Matched</t>
        </is>
      </c>
      <c r="F302" s="14" t="inlineStr">
        <is>
          <t>No</t>
        </is>
      </c>
      <c r="G302" s="14" t="inlineStr">
        <is>
          <t>Microsoft Fabric (Free)</t>
        </is>
      </c>
      <c r="H302" s="14" t="inlineStr">
        <is>
          <t>Likely free / trial</t>
        </is>
      </c>
      <c r="I302" s="18">
        <f>IFERROR(VLOOKUP(G302,SKU_Cost_Input!$A$2:$E$16,4,FALSE),0)</f>
        <v/>
      </c>
      <c r="J302" s="14">
        <f>IFERROR(VLOOKUP(G302,SKU_Cost_Input!$A$2:$E$16,2,FALSE),0)</f>
        <v/>
      </c>
      <c r="K302" s="18">
        <f>IF(J302=0,0,I302/J302)</f>
        <v/>
      </c>
      <c r="L302" s="18">
        <f>K302</f>
        <v/>
      </c>
      <c r="M302" s="14" t="inlineStr">
        <is>
          <t>Exact company email match</t>
        </is>
      </c>
      <c r="N302" s="14" t="inlineStr"/>
    </row>
    <row r="303">
      <c r="A303" s="14" t="inlineStr">
        <is>
          <t>Nico.duPlessis@WearCheckRS.com</t>
        </is>
      </c>
      <c r="B303" s="14" t="inlineStr">
        <is>
          <t>Nico du Plessis</t>
        </is>
      </c>
      <c r="C303" s="14" t="inlineStr">
        <is>
          <t>AFS</t>
        </is>
      </c>
      <c r="D303" s="14" t="inlineStr">
        <is>
          <t>WC506</t>
        </is>
      </c>
      <c r="E303" s="14" t="inlineStr">
        <is>
          <t>Matched</t>
        </is>
      </c>
      <c r="F303" s="14" t="inlineStr">
        <is>
          <t>No</t>
        </is>
      </c>
      <c r="G303" s="14" t="inlineStr">
        <is>
          <t>Microsoft Power Automate Free</t>
        </is>
      </c>
      <c r="H303" s="14" t="inlineStr">
        <is>
          <t>Likely free / trial</t>
        </is>
      </c>
      <c r="I303" s="18">
        <f>IFERROR(VLOOKUP(G303,SKU_Cost_Input!$A$2:$E$16,4,FALSE),0)</f>
        <v/>
      </c>
      <c r="J303" s="14">
        <f>IFERROR(VLOOKUP(G303,SKU_Cost_Input!$A$2:$E$16,2,FALSE),0)</f>
        <v/>
      </c>
      <c r="K303" s="18">
        <f>IF(J303=0,0,I303/J303)</f>
        <v/>
      </c>
      <c r="L303" s="18">
        <f>K303</f>
        <v/>
      </c>
      <c r="M303" s="14" t="inlineStr">
        <is>
          <t>Exact company email match</t>
        </is>
      </c>
      <c r="N303" s="14" t="inlineStr"/>
    </row>
    <row r="304">
      <c r="A304" s="14" t="inlineStr">
        <is>
          <t>Nico.duPlessis@WearCheckRS.com</t>
        </is>
      </c>
      <c r="B304" s="14" t="inlineStr">
        <is>
          <t>Nico du Plessis</t>
        </is>
      </c>
      <c r="C304" s="14" t="inlineStr">
        <is>
          <t>AFS</t>
        </is>
      </c>
      <c r="D304" s="14" t="inlineStr">
        <is>
          <t>WC506</t>
        </is>
      </c>
      <c r="E304" s="14" t="inlineStr">
        <is>
          <t>Matched</t>
        </is>
      </c>
      <c r="F304" s="14" t="inlineStr">
        <is>
          <t>No</t>
        </is>
      </c>
      <c r="G304" s="14" t="inlineStr">
        <is>
          <t>Microsoft Defender for Office 365 (Plan 2)</t>
        </is>
      </c>
      <c r="H304" s="14" t="inlineStr">
        <is>
          <t>Likely billable</t>
        </is>
      </c>
      <c r="I304" s="18">
        <f>IFERROR(VLOOKUP(G304,SKU_Cost_Input!$A$2:$E$16,4,FALSE),0)</f>
        <v/>
      </c>
      <c r="J304" s="14">
        <f>IFERROR(VLOOKUP(G304,SKU_Cost_Input!$A$2:$E$16,2,FALSE),0)</f>
        <v/>
      </c>
      <c r="K304" s="18">
        <f>IF(J304=0,0,I304/J304)</f>
        <v/>
      </c>
      <c r="L304" s="18">
        <f>K304</f>
        <v/>
      </c>
      <c r="M304" s="14" t="inlineStr">
        <is>
          <t>Exact company email match</t>
        </is>
      </c>
      <c r="N304" s="14" t="inlineStr"/>
    </row>
    <row r="305">
      <c r="A305" s="14" t="inlineStr">
        <is>
          <t>Nico.duPlessis@WearCheckRS.com</t>
        </is>
      </c>
      <c r="B305" s="14" t="inlineStr">
        <is>
          <t>Nico du Plessis</t>
        </is>
      </c>
      <c r="C305" s="14" t="inlineStr">
        <is>
          <t>AFS</t>
        </is>
      </c>
      <c r="D305" s="14" t="inlineStr">
        <is>
          <t>WC506</t>
        </is>
      </c>
      <c r="E305" s="14" t="inlineStr">
        <is>
          <t>Matched</t>
        </is>
      </c>
      <c r="F305" s="14" t="inlineStr">
        <is>
          <t>No</t>
        </is>
      </c>
      <c r="G305" s="14" t="inlineStr">
        <is>
          <t>Microsoft 365 Business Standard</t>
        </is>
      </c>
      <c r="H305" s="14" t="inlineStr">
        <is>
          <t>Likely billable</t>
        </is>
      </c>
      <c r="I305" s="18">
        <f>IFERROR(VLOOKUP(G305,SKU_Cost_Input!$A$2:$E$16,4,FALSE),0)</f>
        <v/>
      </c>
      <c r="J305" s="14">
        <f>IFERROR(VLOOKUP(G305,SKU_Cost_Input!$A$2:$E$16,2,FALSE),0)</f>
        <v/>
      </c>
      <c r="K305" s="18">
        <f>IF(J305=0,0,I305/J305)</f>
        <v/>
      </c>
      <c r="L305" s="18">
        <f>K305</f>
        <v/>
      </c>
      <c r="M305" s="14" t="inlineStr">
        <is>
          <t>Exact company email match</t>
        </is>
      </c>
      <c r="N305" s="14" t="inlineStr">
        <is>
          <t>Review: Business Standard — consider Business Basic if sufficient</t>
        </is>
      </c>
    </row>
    <row r="306">
      <c r="A306" s="14" t="inlineStr">
        <is>
          <t>Nicoliens@WearCheckRS.com</t>
        </is>
      </c>
      <c r="B306" s="14" t="inlineStr">
        <is>
          <t>Nicolien Schutte</t>
        </is>
      </c>
      <c r="C306" s="14" t="inlineStr">
        <is>
          <t>RS</t>
        </is>
      </c>
      <c r="D306" s="14" t="inlineStr"/>
      <c r="E306" s="14" t="inlineStr">
        <is>
          <t>Contractor</t>
        </is>
      </c>
      <c r="F306" s="14" t="inlineStr">
        <is>
          <t>No</t>
        </is>
      </c>
      <c r="G306" s="14" t="inlineStr">
        <is>
          <t>Microsoft Defender for Office 365 (Plan 2)</t>
        </is>
      </c>
      <c r="H306" s="14" t="inlineStr">
        <is>
          <t>Likely billable</t>
        </is>
      </c>
      <c r="I306" s="18">
        <f>IFERROR(VLOOKUP(G306,SKU_Cost_Input!$A$2:$E$16,4,FALSE),0)</f>
        <v/>
      </c>
      <c r="J306" s="14">
        <f>IFERROR(VLOOKUP(G306,SKU_Cost_Input!$A$2:$E$16,2,FALSE),0)</f>
        <v/>
      </c>
      <c r="K306" s="18">
        <f>IF(J306=0,0,I306/J306)</f>
        <v/>
      </c>
      <c r="L306" s="18">
        <f>K306</f>
        <v/>
      </c>
      <c r="M306" s="14" t="inlineStr">
        <is>
          <t>Not an employee — contractor. Licence allocated to RS.</t>
        </is>
      </c>
      <c r="N306" s="14" t="inlineStr"/>
    </row>
    <row r="307">
      <c r="A307" s="14" t="inlineStr">
        <is>
          <t>Nicoliens@WearCheckRS.com</t>
        </is>
      </c>
      <c r="B307" s="14" t="inlineStr">
        <is>
          <t>Nicolien Schutte</t>
        </is>
      </c>
      <c r="C307" s="14" t="inlineStr">
        <is>
          <t>RS</t>
        </is>
      </c>
      <c r="D307" s="14" t="inlineStr"/>
      <c r="E307" s="14" t="inlineStr">
        <is>
          <t>Contractor</t>
        </is>
      </c>
      <c r="F307" s="14" t="inlineStr">
        <is>
          <t>No</t>
        </is>
      </c>
      <c r="G307" s="14" t="inlineStr">
        <is>
          <t>Power BI Premium Per User</t>
        </is>
      </c>
      <c r="H307" s="14" t="inlineStr">
        <is>
          <t>Likely billable</t>
        </is>
      </c>
      <c r="I307" s="18">
        <f>IFERROR(VLOOKUP(G307,SKU_Cost_Input!$A$2:$E$16,4,FALSE),0)</f>
        <v/>
      </c>
      <c r="J307" s="14">
        <f>IFERROR(VLOOKUP(G307,SKU_Cost_Input!$A$2:$E$16,2,FALSE),0)</f>
        <v/>
      </c>
      <c r="K307" s="18">
        <f>IF(J307=0,0,I307/J307)</f>
        <v/>
      </c>
      <c r="L307" s="18">
        <f>K307</f>
        <v/>
      </c>
      <c r="M307" s="14" t="inlineStr">
        <is>
          <t>Not an employee — contractor. Licence allocated to RS.</t>
        </is>
      </c>
      <c r="N307" s="14" t="inlineStr"/>
    </row>
    <row r="308">
      <c r="A308" s="14" t="inlineStr">
        <is>
          <t>Nicoliens@WearCheckRS.com</t>
        </is>
      </c>
      <c r="B308" s="14" t="inlineStr">
        <is>
          <t>Nicolien Schutte</t>
        </is>
      </c>
      <c r="C308" s="14" t="inlineStr">
        <is>
          <t>RS</t>
        </is>
      </c>
      <c r="D308" s="14" t="inlineStr"/>
      <c r="E308" s="14" t="inlineStr">
        <is>
          <t>Contractor</t>
        </is>
      </c>
      <c r="F308" s="14" t="inlineStr">
        <is>
          <t>No</t>
        </is>
      </c>
      <c r="G308" s="14" t="inlineStr">
        <is>
          <t>Microsoft 365 E3</t>
        </is>
      </c>
      <c r="H308" s="14" t="inlineStr">
        <is>
          <t>Likely billable</t>
        </is>
      </c>
      <c r="I308" s="18">
        <f>IFERROR(VLOOKUP(G308,SKU_Cost_Input!$A$2:$E$16,4,FALSE),0)</f>
        <v/>
      </c>
      <c r="J308" s="14">
        <f>IFERROR(VLOOKUP(G308,SKU_Cost_Input!$A$2:$E$16,2,FALSE),0)</f>
        <v/>
      </c>
      <c r="K308" s="18">
        <f>IF(J308=0,0,I308/J308)</f>
        <v/>
      </c>
      <c r="L308" s="18">
        <f>K308</f>
        <v/>
      </c>
      <c r="M308" s="14" t="inlineStr">
        <is>
          <t>Not an employee — contractor. Licence allocated to RS.</t>
        </is>
      </c>
      <c r="N308" s="14" t="inlineStr">
        <is>
          <t>Review: E3 may be downgradeable to E1 or Business Basic</t>
        </is>
      </c>
    </row>
    <row r="309">
      <c r="A309" s="14" t="inlineStr">
        <is>
          <t>Nicoliens@WearCheckRS.com</t>
        </is>
      </c>
      <c r="B309" s="14" t="inlineStr">
        <is>
          <t>Nicolien Schutte</t>
        </is>
      </c>
      <c r="C309" s="14" t="inlineStr">
        <is>
          <t>RS</t>
        </is>
      </c>
      <c r="D309" s="14" t="inlineStr"/>
      <c r="E309" s="14" t="inlineStr">
        <is>
          <t>Contractor</t>
        </is>
      </c>
      <c r="F309" s="14" t="inlineStr">
        <is>
          <t>No</t>
        </is>
      </c>
      <c r="G309" s="14" t="inlineStr">
        <is>
          <t>Microsoft Fabric (Free)</t>
        </is>
      </c>
      <c r="H309" s="14" t="inlineStr">
        <is>
          <t>Likely free / trial</t>
        </is>
      </c>
      <c r="I309" s="18">
        <f>IFERROR(VLOOKUP(G309,SKU_Cost_Input!$A$2:$E$16,4,FALSE),0)</f>
        <v/>
      </c>
      <c r="J309" s="14">
        <f>IFERROR(VLOOKUP(G309,SKU_Cost_Input!$A$2:$E$16,2,FALSE),0)</f>
        <v/>
      </c>
      <c r="K309" s="18">
        <f>IF(J309=0,0,I309/J309)</f>
        <v/>
      </c>
      <c r="L309" s="18">
        <f>K309</f>
        <v/>
      </c>
      <c r="M309" s="14" t="inlineStr">
        <is>
          <t>Not an employee — contractor. Licence allocated to RS.</t>
        </is>
      </c>
      <c r="N309" s="14" t="inlineStr"/>
    </row>
    <row r="310">
      <c r="A310" s="14" t="inlineStr">
        <is>
          <t>Nicoliens@WearCheckRS.com</t>
        </is>
      </c>
      <c r="B310" s="14" t="inlineStr">
        <is>
          <t>Nicolien Schutte</t>
        </is>
      </c>
      <c r="C310" s="14" t="inlineStr">
        <is>
          <t>RS</t>
        </is>
      </c>
      <c r="D310" s="14" t="inlineStr"/>
      <c r="E310" s="14" t="inlineStr">
        <is>
          <t>Contractor</t>
        </is>
      </c>
      <c r="F310" s="14" t="inlineStr">
        <is>
          <t>No</t>
        </is>
      </c>
      <c r="G310" s="14" t="inlineStr">
        <is>
          <t>Microsoft Power Automate Free</t>
        </is>
      </c>
      <c r="H310" s="14" t="inlineStr">
        <is>
          <t>Likely free / trial</t>
        </is>
      </c>
      <c r="I310" s="18">
        <f>IFERROR(VLOOKUP(G310,SKU_Cost_Input!$A$2:$E$16,4,FALSE),0)</f>
        <v/>
      </c>
      <c r="J310" s="14">
        <f>IFERROR(VLOOKUP(G310,SKU_Cost_Input!$A$2:$E$16,2,FALSE),0)</f>
        <v/>
      </c>
      <c r="K310" s="18">
        <f>IF(J310=0,0,I310/J310)</f>
        <v/>
      </c>
      <c r="L310" s="18">
        <f>K310</f>
        <v/>
      </c>
      <c r="M310" s="14" t="inlineStr">
        <is>
          <t>Not an employee — contractor. Licence allocated to RS.</t>
        </is>
      </c>
      <c r="N310" s="14" t="inlineStr"/>
    </row>
    <row r="311">
      <c r="A311" s="14" t="inlineStr">
        <is>
          <t>no-reply-arc-oil@WearCheckRS.com</t>
        </is>
      </c>
      <c r="B311" s="14" t="inlineStr">
        <is>
          <t>no-reply-arc-oil@wearcheckrs.com</t>
        </is>
      </c>
      <c r="C311" s="14" t="inlineStr">
        <is>
          <t>RS</t>
        </is>
      </c>
      <c r="D311" s="14" t="n"/>
      <c r="E311" s="14" t="inlineStr">
        <is>
          <t>Mapped by rule</t>
        </is>
      </c>
      <c r="F311" s="14" t="inlineStr">
        <is>
          <t>No</t>
        </is>
      </c>
      <c r="G311" s="14" t="inlineStr">
        <is>
          <t>Microsoft Power Automate Free</t>
        </is>
      </c>
      <c r="H311" s="14" t="inlineStr">
        <is>
          <t>Likely free / trial</t>
        </is>
      </c>
      <c r="I311" s="18">
        <f>IFERROR(VLOOKUP(G311,SKU_Cost_Input!$A$2:$E$16,4,FALSE),0)</f>
        <v/>
      </c>
      <c r="J311" s="14">
        <f>IFERROR(VLOOKUP(G311,SKU_Cost_Input!$A$2:$E$16,2,FALSE),0)</f>
        <v/>
      </c>
      <c r="K311" s="18">
        <f>IF(J311=0,0,I311/J311)</f>
        <v/>
      </c>
      <c r="L311" s="18">
        <f>K311</f>
        <v/>
      </c>
      <c r="M311" s="14" t="inlineStr">
        <is>
          <t>Generic/shared/service account defaulted to RS per instruction</t>
        </is>
      </c>
      <c r="N311" s="14" t="inlineStr"/>
    </row>
    <row r="312">
      <c r="A312" s="14" t="inlineStr">
        <is>
          <t>no-reply-arc-oil@WearCheckRS.com</t>
        </is>
      </c>
      <c r="B312" s="14" t="inlineStr">
        <is>
          <t>no-reply-arc-oil@wearcheckrs.com</t>
        </is>
      </c>
      <c r="C312" s="14" t="inlineStr">
        <is>
          <t>RS</t>
        </is>
      </c>
      <c r="D312" s="14" t="n"/>
      <c r="E312" s="14" t="inlineStr">
        <is>
          <t>Mapped by rule</t>
        </is>
      </c>
      <c r="F312" s="14" t="inlineStr">
        <is>
          <t>No</t>
        </is>
      </c>
      <c r="G312" s="14" t="inlineStr">
        <is>
          <t>Microsoft Defender for Office 365 (Plan 2)</t>
        </is>
      </c>
      <c r="H312" s="14" t="inlineStr">
        <is>
          <t>Likely billable</t>
        </is>
      </c>
      <c r="I312" s="18">
        <f>IFERROR(VLOOKUP(G312,SKU_Cost_Input!$A$2:$E$16,4,FALSE),0)</f>
        <v/>
      </c>
      <c r="J312" s="14">
        <f>IFERROR(VLOOKUP(G312,SKU_Cost_Input!$A$2:$E$16,2,FALSE),0)</f>
        <v/>
      </c>
      <c r="K312" s="18">
        <f>IF(J312=0,0,I312/J312)</f>
        <v/>
      </c>
      <c r="L312" s="18">
        <f>K312</f>
        <v/>
      </c>
      <c r="M312" s="14" t="inlineStr">
        <is>
          <t>Generic/shared/service account defaulted to RS per instruction</t>
        </is>
      </c>
      <c r="N312" s="14" t="inlineStr"/>
    </row>
    <row r="313">
      <c r="A313" s="14" t="inlineStr">
        <is>
          <t>no-reply-arc-oil@WearCheckRS.com</t>
        </is>
      </c>
      <c r="B313" s="14" t="inlineStr">
        <is>
          <t>no-reply-arc-oil@wearcheckrs.com</t>
        </is>
      </c>
      <c r="C313" s="14" t="inlineStr">
        <is>
          <t>RS</t>
        </is>
      </c>
      <c r="D313" s="14" t="n"/>
      <c r="E313" s="14" t="inlineStr">
        <is>
          <t>Mapped by rule</t>
        </is>
      </c>
      <c r="F313" s="14" t="inlineStr">
        <is>
          <t>No</t>
        </is>
      </c>
      <c r="G313" s="14" t="inlineStr">
        <is>
          <t>Microsoft 365 Business Standard</t>
        </is>
      </c>
      <c r="H313" s="14" t="inlineStr">
        <is>
          <t>Likely billable</t>
        </is>
      </c>
      <c r="I313" s="18">
        <f>IFERROR(VLOOKUP(G313,SKU_Cost_Input!$A$2:$E$16,4,FALSE),0)</f>
        <v/>
      </c>
      <c r="J313" s="14">
        <f>IFERROR(VLOOKUP(G313,SKU_Cost_Input!$A$2:$E$16,2,FALSE),0)</f>
        <v/>
      </c>
      <c r="K313" s="18">
        <f>IF(J313=0,0,I313/J313)</f>
        <v/>
      </c>
      <c r="L313" s="18">
        <f>K313</f>
        <v/>
      </c>
      <c r="M313" s="14" t="inlineStr">
        <is>
          <t>Generic/shared/service account defaulted to RS per instruction</t>
        </is>
      </c>
      <c r="N313" s="14" t="inlineStr">
        <is>
          <t>Review: Business Standard — consider Business Basic if sufficient</t>
        </is>
      </c>
    </row>
    <row r="314">
      <c r="A314" s="14" t="inlineStr">
        <is>
          <t>noreply@WearCheckRS.com</t>
        </is>
      </c>
      <c r="B314" s="14" t="inlineStr">
        <is>
          <t>No Reply</t>
        </is>
      </c>
      <c r="C314" s="14" t="inlineStr">
        <is>
          <t>RS</t>
        </is>
      </c>
      <c r="D314" s="14" t="n"/>
      <c r="E314" s="14" t="inlineStr">
        <is>
          <t>Mapped by rule</t>
        </is>
      </c>
      <c r="F314" s="14" t="inlineStr">
        <is>
          <t>No</t>
        </is>
      </c>
      <c r="G314" s="14" t="inlineStr">
        <is>
          <t>Microsoft Defender for Office 365 (Plan 2)</t>
        </is>
      </c>
      <c r="H314" s="14" t="inlineStr">
        <is>
          <t>Likely billable</t>
        </is>
      </c>
      <c r="I314" s="18">
        <f>IFERROR(VLOOKUP(G314,SKU_Cost_Input!$A$2:$E$16,4,FALSE),0)</f>
        <v/>
      </c>
      <c r="J314" s="14">
        <f>IFERROR(VLOOKUP(G314,SKU_Cost_Input!$A$2:$E$16,2,FALSE),0)</f>
        <v/>
      </c>
      <c r="K314" s="18">
        <f>IF(J314=0,0,I314/J314)</f>
        <v/>
      </c>
      <c r="L314" s="18">
        <f>K314</f>
        <v/>
      </c>
      <c r="M314" s="14" t="inlineStr">
        <is>
          <t>Generic/shared/service account defaulted to RS per instruction</t>
        </is>
      </c>
      <c r="N314" s="14" t="inlineStr"/>
    </row>
    <row r="315">
      <c r="A315" s="14" t="inlineStr">
        <is>
          <t>noreply@WearCheckRS.com</t>
        </is>
      </c>
      <c r="B315" s="14" t="inlineStr">
        <is>
          <t>No Reply</t>
        </is>
      </c>
      <c r="C315" s="14" t="inlineStr">
        <is>
          <t>RS</t>
        </is>
      </c>
      <c r="D315" s="14" t="n"/>
      <c r="E315" s="14" t="inlineStr">
        <is>
          <t>Mapped by rule</t>
        </is>
      </c>
      <c r="F315" s="14" t="inlineStr">
        <is>
          <t>No</t>
        </is>
      </c>
      <c r="G315" s="14" t="inlineStr">
        <is>
          <t>Microsoft 365 Business Standard</t>
        </is>
      </c>
      <c r="H315" s="14" t="inlineStr">
        <is>
          <t>Likely billable</t>
        </is>
      </c>
      <c r="I315" s="18">
        <f>IFERROR(VLOOKUP(G315,SKU_Cost_Input!$A$2:$E$16,4,FALSE),0)</f>
        <v/>
      </c>
      <c r="J315" s="14">
        <f>IFERROR(VLOOKUP(G315,SKU_Cost_Input!$A$2:$E$16,2,FALSE),0)</f>
        <v/>
      </c>
      <c r="K315" s="18">
        <f>IF(J315=0,0,I315/J315)</f>
        <v/>
      </c>
      <c r="L315" s="18">
        <f>K315</f>
        <v/>
      </c>
      <c r="M315" s="14" t="inlineStr">
        <is>
          <t>Generic/shared/service account defaulted to RS per instruction</t>
        </is>
      </c>
      <c r="N315" s="14" t="inlineStr">
        <is>
          <t>Review: Business Standard — consider Business Basic if sufficient</t>
        </is>
      </c>
    </row>
    <row r="316">
      <c r="A316" s="14" t="inlineStr">
        <is>
          <t>NomvulaM@WearCheckRS.com</t>
        </is>
      </c>
      <c r="B316" s="14" t="inlineStr">
        <is>
          <t>Nomvula  Mkhize</t>
        </is>
      </c>
      <c r="C316" s="14" t="inlineStr">
        <is>
          <t>RS</t>
        </is>
      </c>
      <c r="D316" s="14" t="inlineStr">
        <is>
          <t>WC651</t>
        </is>
      </c>
      <c r="E316" s="14" t="inlineStr">
        <is>
          <t>Matched</t>
        </is>
      </c>
      <c r="F316" s="14" t="inlineStr">
        <is>
          <t>No</t>
        </is>
      </c>
      <c r="G316" s="14" t="inlineStr">
        <is>
          <t>Microsoft Defender for Office 365 (Plan 2)</t>
        </is>
      </c>
      <c r="H316" s="14" t="inlineStr">
        <is>
          <t>Likely billable</t>
        </is>
      </c>
      <c r="I316" s="18">
        <f>IFERROR(VLOOKUP(G316,SKU_Cost_Input!$A$2:$E$16,4,FALSE),0)</f>
        <v/>
      </c>
      <c r="J316" s="14">
        <f>IFERROR(VLOOKUP(G316,SKU_Cost_Input!$A$2:$E$16,2,FALSE),0)</f>
        <v/>
      </c>
      <c r="K316" s="18">
        <f>IF(J316=0,0,I316/J316)</f>
        <v/>
      </c>
      <c r="L316" s="18">
        <f>K316</f>
        <v/>
      </c>
      <c r="M316" s="14" t="inlineStr">
        <is>
          <t>Exact company email match</t>
        </is>
      </c>
      <c r="N316" s="14" t="inlineStr"/>
    </row>
    <row r="317">
      <c r="A317" s="14" t="inlineStr">
        <is>
          <t>NomvulaM@WearCheckRS.com</t>
        </is>
      </c>
      <c r="B317" s="14" t="inlineStr">
        <is>
          <t>Nomvula  Mkhize</t>
        </is>
      </c>
      <c r="C317" s="14" t="inlineStr">
        <is>
          <t>RS</t>
        </is>
      </c>
      <c r="D317" s="14" t="inlineStr">
        <is>
          <t>WC651</t>
        </is>
      </c>
      <c r="E317" s="14" t="inlineStr">
        <is>
          <t>Matched</t>
        </is>
      </c>
      <c r="F317" s="14" t="inlineStr">
        <is>
          <t>No</t>
        </is>
      </c>
      <c r="G317" s="14" t="inlineStr">
        <is>
          <t>Microsoft 365 Business Standard</t>
        </is>
      </c>
      <c r="H317" s="14" t="inlineStr">
        <is>
          <t>Likely billable</t>
        </is>
      </c>
      <c r="I317" s="18">
        <f>IFERROR(VLOOKUP(G317,SKU_Cost_Input!$A$2:$E$16,4,FALSE),0)</f>
        <v/>
      </c>
      <c r="J317" s="14">
        <f>IFERROR(VLOOKUP(G317,SKU_Cost_Input!$A$2:$E$16,2,FALSE),0)</f>
        <v/>
      </c>
      <c r="K317" s="18">
        <f>IF(J317=0,0,I317/J317)</f>
        <v/>
      </c>
      <c r="L317" s="18">
        <f>K317</f>
        <v/>
      </c>
      <c r="M317" s="14" t="inlineStr">
        <is>
          <t>Exact company email match</t>
        </is>
      </c>
      <c r="N317" s="14" t="inlineStr">
        <is>
          <t>Review: Business Standard — consider Business Basic if sufficient</t>
        </is>
      </c>
    </row>
    <row r="318">
      <c r="A318" s="14" t="inlineStr">
        <is>
          <t>passwell@WearCheckRS.com</t>
        </is>
      </c>
      <c r="B318" s="14" t="inlineStr">
        <is>
          <t>Passwell Mashoeou</t>
        </is>
      </c>
      <c r="C318" s="14" t="inlineStr">
        <is>
          <t>RS</t>
        </is>
      </c>
      <c r="D318" s="14" t="inlineStr">
        <is>
          <t>WC348</t>
        </is>
      </c>
      <c r="E318" s="14" t="inlineStr">
        <is>
          <t>Matched</t>
        </is>
      </c>
      <c r="F318" s="14" t="inlineStr">
        <is>
          <t>No</t>
        </is>
      </c>
      <c r="G318" s="14" t="inlineStr">
        <is>
          <t>Microsoft Defender for Office 365 (Plan 2)</t>
        </is>
      </c>
      <c r="H318" s="14" t="inlineStr">
        <is>
          <t>Likely billable</t>
        </is>
      </c>
      <c r="I318" s="18">
        <f>IFERROR(VLOOKUP(G318,SKU_Cost_Input!$A$2:$E$16,4,FALSE),0)</f>
        <v/>
      </c>
      <c r="J318" s="14">
        <f>IFERROR(VLOOKUP(G318,SKU_Cost_Input!$A$2:$E$16,2,FALSE),0)</f>
        <v/>
      </c>
      <c r="K318" s="18">
        <f>IF(J318=0,0,I318/J318)</f>
        <v/>
      </c>
      <c r="L318" s="18">
        <f>K318</f>
        <v/>
      </c>
      <c r="M318" s="14" t="inlineStr">
        <is>
          <t>Exact company email match</t>
        </is>
      </c>
      <c r="N318" s="14" t="inlineStr"/>
    </row>
    <row r="319">
      <c r="A319" s="14" t="inlineStr">
        <is>
          <t>passwell@WearCheckRS.com</t>
        </is>
      </c>
      <c r="B319" s="14" t="inlineStr">
        <is>
          <t>Passwell Mashoeou</t>
        </is>
      </c>
      <c r="C319" s="14" t="inlineStr">
        <is>
          <t>RS</t>
        </is>
      </c>
      <c r="D319" s="14" t="inlineStr">
        <is>
          <t>WC348</t>
        </is>
      </c>
      <c r="E319" s="14" t="inlineStr">
        <is>
          <t>Matched</t>
        </is>
      </c>
      <c r="F319" s="14" t="inlineStr">
        <is>
          <t>No</t>
        </is>
      </c>
      <c r="G319" s="14" t="inlineStr">
        <is>
          <t>Microsoft 365 Business Standard</t>
        </is>
      </c>
      <c r="H319" s="14" t="inlineStr">
        <is>
          <t>Likely billable</t>
        </is>
      </c>
      <c r="I319" s="18">
        <f>IFERROR(VLOOKUP(G319,SKU_Cost_Input!$A$2:$E$16,4,FALSE),0)</f>
        <v/>
      </c>
      <c r="J319" s="14">
        <f>IFERROR(VLOOKUP(G319,SKU_Cost_Input!$A$2:$E$16,2,FALSE),0)</f>
        <v/>
      </c>
      <c r="K319" s="18">
        <f>IF(J319=0,0,I319/J319)</f>
        <v/>
      </c>
      <c r="L319" s="18">
        <f>K319</f>
        <v/>
      </c>
      <c r="M319" s="14" t="inlineStr">
        <is>
          <t>Exact company email match</t>
        </is>
      </c>
      <c r="N319" s="14" t="inlineStr">
        <is>
          <t>Review: Business Standard — consider Business Basic if sufficient</t>
        </is>
      </c>
    </row>
    <row r="320">
      <c r="A320" s="14" t="inlineStr">
        <is>
          <t>Patrick@WearCheckRS.com</t>
        </is>
      </c>
      <c r="B320" s="14" t="inlineStr">
        <is>
          <t>Patrick Nel</t>
        </is>
      </c>
      <c r="C320" s="14" t="inlineStr">
        <is>
          <t>AFS</t>
        </is>
      </c>
      <c r="D320" s="14" t="inlineStr">
        <is>
          <t>WC498</t>
        </is>
      </c>
      <c r="E320" s="14" t="inlineStr">
        <is>
          <t>Matched</t>
        </is>
      </c>
      <c r="F320" s="14" t="inlineStr">
        <is>
          <t>No</t>
        </is>
      </c>
      <c r="G320" s="14" t="inlineStr">
        <is>
          <t>Microsoft 365 Business Standard</t>
        </is>
      </c>
      <c r="H320" s="14" t="inlineStr">
        <is>
          <t>Likely billable</t>
        </is>
      </c>
      <c r="I320" s="18">
        <f>IFERROR(VLOOKUP(G320,SKU_Cost_Input!$A$2:$E$16,4,FALSE),0)</f>
        <v/>
      </c>
      <c r="J320" s="14">
        <f>IFERROR(VLOOKUP(G320,SKU_Cost_Input!$A$2:$E$16,2,FALSE),0)</f>
        <v/>
      </c>
      <c r="K320" s="18">
        <f>IF(J320=0,0,I320/J320)</f>
        <v/>
      </c>
      <c r="L320" s="18">
        <f>K320</f>
        <v/>
      </c>
      <c r="M320" s="14" t="inlineStr">
        <is>
          <t>Exact company email match</t>
        </is>
      </c>
      <c r="N320" s="14" t="inlineStr">
        <is>
          <t>Review: Business Standard — consider Business Basic if sufficient</t>
        </is>
      </c>
    </row>
    <row r="321">
      <c r="A321" s="14" t="inlineStr">
        <is>
          <t>Peet@WearCheckRS.com</t>
        </is>
      </c>
      <c r="B321" s="14" t="inlineStr">
        <is>
          <t>Peet Peacock</t>
        </is>
      </c>
      <c r="C321" s="14" t="inlineStr">
        <is>
          <t>RS</t>
        </is>
      </c>
      <c r="D321" s="14" t="inlineStr">
        <is>
          <t>WC520</t>
        </is>
      </c>
      <c r="E321" s="14" t="inlineStr">
        <is>
          <t>Matched</t>
        </is>
      </c>
      <c r="F321" s="14" t="inlineStr">
        <is>
          <t>No</t>
        </is>
      </c>
      <c r="G321" s="14" t="inlineStr">
        <is>
          <t>Microsoft Defender for Office 365 (Plan 2)</t>
        </is>
      </c>
      <c r="H321" s="14" t="inlineStr">
        <is>
          <t>Likely billable</t>
        </is>
      </c>
      <c r="I321" s="18">
        <f>IFERROR(VLOOKUP(G321,SKU_Cost_Input!$A$2:$E$16,4,FALSE),0)</f>
        <v/>
      </c>
      <c r="J321" s="14">
        <f>IFERROR(VLOOKUP(G321,SKU_Cost_Input!$A$2:$E$16,2,FALSE),0)</f>
        <v/>
      </c>
      <c r="K321" s="18">
        <f>IF(J321=0,0,I321/J321)</f>
        <v/>
      </c>
      <c r="L321" s="18">
        <f>K321</f>
        <v/>
      </c>
      <c r="M321" s="14" t="inlineStr">
        <is>
          <t>Exact company email match</t>
        </is>
      </c>
      <c r="N321" s="14" t="inlineStr"/>
    </row>
    <row r="322">
      <c r="A322" s="14" t="inlineStr">
        <is>
          <t>Peet@WearCheckRS.com</t>
        </is>
      </c>
      <c r="B322" s="14" t="inlineStr">
        <is>
          <t>Peet Peacock</t>
        </is>
      </c>
      <c r="C322" s="14" t="inlineStr">
        <is>
          <t>RS</t>
        </is>
      </c>
      <c r="D322" s="14" t="inlineStr">
        <is>
          <t>WC520</t>
        </is>
      </c>
      <c r="E322" s="14" t="inlineStr">
        <is>
          <t>Matched</t>
        </is>
      </c>
      <c r="F322" s="14" t="inlineStr">
        <is>
          <t>No</t>
        </is>
      </c>
      <c r="G322" s="14" t="inlineStr">
        <is>
          <t>Microsoft 365 E3</t>
        </is>
      </c>
      <c r="H322" s="14" t="inlineStr">
        <is>
          <t>Likely billable</t>
        </is>
      </c>
      <c r="I322" s="18">
        <f>IFERROR(VLOOKUP(G322,SKU_Cost_Input!$A$2:$E$16,4,FALSE),0)</f>
        <v/>
      </c>
      <c r="J322" s="14">
        <f>IFERROR(VLOOKUP(G322,SKU_Cost_Input!$A$2:$E$16,2,FALSE),0)</f>
        <v/>
      </c>
      <c r="K322" s="18">
        <f>IF(J322=0,0,I322/J322)</f>
        <v/>
      </c>
      <c r="L322" s="18">
        <f>K322</f>
        <v/>
      </c>
      <c r="M322" s="14" t="inlineStr">
        <is>
          <t>Exact company email match</t>
        </is>
      </c>
      <c r="N322" s="14" t="inlineStr">
        <is>
          <t>Review: E3 may be downgradeable to E1 or Business Basic</t>
        </is>
      </c>
    </row>
    <row r="323">
      <c r="A323" s="14" t="inlineStr">
        <is>
          <t>Percy@WearCheckRS.com</t>
        </is>
      </c>
      <c r="B323" s="14" t="inlineStr">
        <is>
          <t>Percy Hall</t>
        </is>
      </c>
      <c r="C323" s="14" t="inlineStr">
        <is>
          <t>RS</t>
        </is>
      </c>
      <c r="D323" s="14" t="inlineStr">
        <is>
          <t>WEC115</t>
        </is>
      </c>
      <c r="E323" s="14" t="inlineStr">
        <is>
          <t>Matched</t>
        </is>
      </c>
      <c r="F323" s="14" t="inlineStr">
        <is>
          <t>No</t>
        </is>
      </c>
      <c r="G323" s="14" t="inlineStr">
        <is>
          <t>Microsoft Defender for Office 365 (Plan 2)</t>
        </is>
      </c>
      <c r="H323" s="14" t="inlineStr">
        <is>
          <t>Likely billable</t>
        </is>
      </c>
      <c r="I323" s="18">
        <f>IFERROR(VLOOKUP(G323,SKU_Cost_Input!$A$2:$E$16,4,FALSE),0)</f>
        <v/>
      </c>
      <c r="J323" s="14">
        <f>IFERROR(VLOOKUP(G323,SKU_Cost_Input!$A$2:$E$16,2,FALSE),0)</f>
        <v/>
      </c>
      <c r="K323" s="18">
        <f>IF(J323=0,0,I323/J323)</f>
        <v/>
      </c>
      <c r="L323" s="18">
        <f>K323</f>
        <v/>
      </c>
      <c r="M323" s="14" t="inlineStr">
        <is>
          <t>Exact company email match</t>
        </is>
      </c>
      <c r="N323" s="14" t="inlineStr"/>
    </row>
    <row r="324">
      <c r="A324" s="14" t="inlineStr">
        <is>
          <t>Percy@WearCheckRS.com</t>
        </is>
      </c>
      <c r="B324" s="14" t="inlineStr">
        <is>
          <t>Percy Hall</t>
        </is>
      </c>
      <c r="C324" s="14" t="inlineStr">
        <is>
          <t>RS</t>
        </is>
      </c>
      <c r="D324" s="14" t="inlineStr">
        <is>
          <t>WEC115</t>
        </is>
      </c>
      <c r="E324" s="14" t="inlineStr">
        <is>
          <t>Matched</t>
        </is>
      </c>
      <c r="F324" s="14" t="inlineStr">
        <is>
          <t>No</t>
        </is>
      </c>
      <c r="G324" s="14" t="inlineStr">
        <is>
          <t>Microsoft 365 Business Standard</t>
        </is>
      </c>
      <c r="H324" s="14" t="inlineStr">
        <is>
          <t>Likely billable</t>
        </is>
      </c>
      <c r="I324" s="18">
        <f>IFERROR(VLOOKUP(G324,SKU_Cost_Input!$A$2:$E$16,4,FALSE),0)</f>
        <v/>
      </c>
      <c r="J324" s="14">
        <f>IFERROR(VLOOKUP(G324,SKU_Cost_Input!$A$2:$E$16,2,FALSE),0)</f>
        <v/>
      </c>
      <c r="K324" s="18">
        <f>IF(J324=0,0,I324/J324)</f>
        <v/>
      </c>
      <c r="L324" s="18">
        <f>K324</f>
        <v/>
      </c>
      <c r="M324" s="14" t="inlineStr">
        <is>
          <t>Exact company email match</t>
        </is>
      </c>
      <c r="N324" s="14" t="inlineStr">
        <is>
          <t>Review: Business Standard — consider Business Basic if sufficient</t>
        </is>
      </c>
    </row>
    <row r="325">
      <c r="A325" s="14" t="inlineStr">
        <is>
          <t>permission@WearCheckRS.com</t>
        </is>
      </c>
      <c r="B325" s="14" t="inlineStr">
        <is>
          <t>Permission Melele</t>
        </is>
      </c>
      <c r="C325" s="14" t="inlineStr">
        <is>
          <t>RS</t>
        </is>
      </c>
      <c r="D325" s="14" t="inlineStr">
        <is>
          <t>WC393</t>
        </is>
      </c>
      <c r="E325" s="14" t="inlineStr">
        <is>
          <t>Matched</t>
        </is>
      </c>
      <c r="F325" s="14" t="inlineStr">
        <is>
          <t>No</t>
        </is>
      </c>
      <c r="G325" s="14" t="inlineStr">
        <is>
          <t>Microsoft Defender for Office 365 (Plan 2)</t>
        </is>
      </c>
      <c r="H325" s="14" t="inlineStr">
        <is>
          <t>Likely billable</t>
        </is>
      </c>
      <c r="I325" s="18">
        <f>IFERROR(VLOOKUP(G325,SKU_Cost_Input!$A$2:$E$16,4,FALSE),0)</f>
        <v/>
      </c>
      <c r="J325" s="14">
        <f>IFERROR(VLOOKUP(G325,SKU_Cost_Input!$A$2:$E$16,2,FALSE),0)</f>
        <v/>
      </c>
      <c r="K325" s="18">
        <f>IF(J325=0,0,I325/J325)</f>
        <v/>
      </c>
      <c r="L325" s="18">
        <f>K325</f>
        <v/>
      </c>
      <c r="M325" s="14" t="inlineStr">
        <is>
          <t>Exact company email match</t>
        </is>
      </c>
      <c r="N325" s="14" t="inlineStr"/>
    </row>
    <row r="326">
      <c r="A326" s="14" t="inlineStr">
        <is>
          <t>permission@WearCheckRS.com</t>
        </is>
      </c>
      <c r="B326" s="14" t="inlineStr">
        <is>
          <t>Permission Melele</t>
        </is>
      </c>
      <c r="C326" s="14" t="inlineStr">
        <is>
          <t>RS</t>
        </is>
      </c>
      <c r="D326" s="14" t="inlineStr">
        <is>
          <t>WC393</t>
        </is>
      </c>
      <c r="E326" s="14" t="inlineStr">
        <is>
          <t>Matched</t>
        </is>
      </c>
      <c r="F326" s="14" t="inlineStr">
        <is>
          <t>No</t>
        </is>
      </c>
      <c r="G326" s="14" t="inlineStr">
        <is>
          <t>Microsoft 365 Business Standard</t>
        </is>
      </c>
      <c r="H326" s="14" t="inlineStr">
        <is>
          <t>Likely billable</t>
        </is>
      </c>
      <c r="I326" s="18">
        <f>IFERROR(VLOOKUP(G326,SKU_Cost_Input!$A$2:$E$16,4,FALSE),0)</f>
        <v/>
      </c>
      <c r="J326" s="14">
        <f>IFERROR(VLOOKUP(G326,SKU_Cost_Input!$A$2:$E$16,2,FALSE),0)</f>
        <v/>
      </c>
      <c r="K326" s="18">
        <f>IF(J326=0,0,I326/J326)</f>
        <v/>
      </c>
      <c r="L326" s="18">
        <f>K326</f>
        <v/>
      </c>
      <c r="M326" s="14" t="inlineStr">
        <is>
          <t>Exact company email match</t>
        </is>
      </c>
      <c r="N326" s="14" t="inlineStr">
        <is>
          <t>Review: Business Standard — consider Business Basic if sufficient</t>
        </is>
      </c>
    </row>
    <row r="327">
      <c r="A327" s="14" t="inlineStr">
        <is>
          <t>Peter@WearCheckRS.com</t>
        </is>
      </c>
      <c r="B327" s="14" t="inlineStr">
        <is>
          <t>Peter</t>
        </is>
      </c>
      <c r="C327" s="14" t="inlineStr">
        <is>
          <t>RS</t>
        </is>
      </c>
      <c r="D327" s="14" t="inlineStr"/>
      <c r="E327" s="14" t="inlineStr">
        <is>
          <t>Ex-Employee</t>
        </is>
      </c>
      <c r="F327" s="14" t="inlineStr">
        <is>
          <t>No</t>
        </is>
      </c>
      <c r="G327" s="14" t="inlineStr">
        <is>
          <t>Microsoft 365 Business Standard</t>
        </is>
      </c>
      <c r="H327" s="14" t="inlineStr">
        <is>
          <t>Likely billable</t>
        </is>
      </c>
      <c r="I327" s="18">
        <f>IFERROR(VLOOKUP(G327,SKU_Cost_Input!$A$2:$E$16,4,FALSE),0)</f>
        <v/>
      </c>
      <c r="J327" s="14">
        <f>IFERROR(VLOOKUP(G327,SKU_Cost_Input!$A$2:$E$16,2,FALSE),0)</f>
        <v/>
      </c>
      <c r="K327" s="18">
        <f>IF(J327=0,0,I327/J327)</f>
        <v/>
      </c>
      <c r="L327" s="18">
        <f>K327</f>
        <v/>
      </c>
      <c r="M327" s="14" t="inlineStr">
        <is>
          <t>No longer an employee. FLAG: Remove licence.</t>
        </is>
      </c>
      <c r="N327" s="14" t="inlineStr">
        <is>
          <t>Review: Business Standard — consider Business Basic if sufficient</t>
        </is>
      </c>
    </row>
    <row r="328">
      <c r="A328" s="14" t="inlineStr">
        <is>
          <t>philip@WearCheckRS.com</t>
        </is>
      </c>
      <c r="B328" s="14" t="inlineStr">
        <is>
          <t>Philip Schutte</t>
        </is>
      </c>
      <c r="C328" s="14" t="inlineStr">
        <is>
          <t>RS</t>
        </is>
      </c>
      <c r="D328" s="14" t="inlineStr">
        <is>
          <t>WC253</t>
        </is>
      </c>
      <c r="E328" s="14" t="inlineStr">
        <is>
          <t>Matched</t>
        </is>
      </c>
      <c r="F328" s="14" t="inlineStr">
        <is>
          <t>No</t>
        </is>
      </c>
      <c r="G328" s="14" t="inlineStr">
        <is>
          <t>Microsoft Defender for Office 365 (Plan 2)</t>
        </is>
      </c>
      <c r="H328" s="14" t="inlineStr">
        <is>
          <t>Likely billable</t>
        </is>
      </c>
      <c r="I328" s="18">
        <f>IFERROR(VLOOKUP(G328,SKU_Cost_Input!$A$2:$E$16,4,FALSE),0)</f>
        <v/>
      </c>
      <c r="J328" s="14">
        <f>IFERROR(VLOOKUP(G328,SKU_Cost_Input!$A$2:$E$16,2,FALSE),0)</f>
        <v/>
      </c>
      <c r="K328" s="18">
        <f>IF(J328=0,0,I328/J328)</f>
        <v/>
      </c>
      <c r="L328" s="18">
        <f>K328</f>
        <v/>
      </c>
      <c r="M328" s="14" t="inlineStr">
        <is>
          <t>Exact company email match</t>
        </is>
      </c>
      <c r="N328" s="14" t="inlineStr"/>
    </row>
    <row r="329">
      <c r="A329" s="14" t="inlineStr">
        <is>
          <t>philip@WearCheckRS.com</t>
        </is>
      </c>
      <c r="B329" s="14" t="inlineStr">
        <is>
          <t>Philip Schutte</t>
        </is>
      </c>
      <c r="C329" s="14" t="inlineStr">
        <is>
          <t>RS</t>
        </is>
      </c>
      <c r="D329" s="14" t="inlineStr">
        <is>
          <t>WC253</t>
        </is>
      </c>
      <c r="E329" s="14" t="inlineStr">
        <is>
          <t>Matched</t>
        </is>
      </c>
      <c r="F329" s="14" t="inlineStr">
        <is>
          <t>No</t>
        </is>
      </c>
      <c r="G329" s="14" t="inlineStr">
        <is>
          <t>Microsoft Fabric (Free)</t>
        </is>
      </c>
      <c r="H329" s="14" t="inlineStr">
        <is>
          <t>Likely free / trial</t>
        </is>
      </c>
      <c r="I329" s="18">
        <f>IFERROR(VLOOKUP(G329,SKU_Cost_Input!$A$2:$E$16,4,FALSE),0)</f>
        <v/>
      </c>
      <c r="J329" s="14">
        <f>IFERROR(VLOOKUP(G329,SKU_Cost_Input!$A$2:$E$16,2,FALSE),0)</f>
        <v/>
      </c>
      <c r="K329" s="18">
        <f>IF(J329=0,0,I329/J329)</f>
        <v/>
      </c>
      <c r="L329" s="18">
        <f>K329</f>
        <v/>
      </c>
      <c r="M329" s="14" t="inlineStr">
        <is>
          <t>Exact company email match</t>
        </is>
      </c>
      <c r="N329" s="14" t="inlineStr"/>
    </row>
    <row r="330">
      <c r="A330" s="14" t="inlineStr">
        <is>
          <t>philip@WearCheckRS.com</t>
        </is>
      </c>
      <c r="B330" s="14" t="inlineStr">
        <is>
          <t>Philip Schutte</t>
        </is>
      </c>
      <c r="C330" s="14" t="inlineStr">
        <is>
          <t>RS</t>
        </is>
      </c>
      <c r="D330" s="14" t="inlineStr">
        <is>
          <t>WC253</t>
        </is>
      </c>
      <c r="E330" s="14" t="inlineStr">
        <is>
          <t>Matched</t>
        </is>
      </c>
      <c r="F330" s="14" t="inlineStr">
        <is>
          <t>No</t>
        </is>
      </c>
      <c r="G330" s="14" t="inlineStr">
        <is>
          <t>Microsoft 365 E3</t>
        </is>
      </c>
      <c r="H330" s="14" t="inlineStr">
        <is>
          <t>Likely billable</t>
        </is>
      </c>
      <c r="I330" s="18">
        <f>IFERROR(VLOOKUP(G330,SKU_Cost_Input!$A$2:$E$16,4,FALSE),0)</f>
        <v/>
      </c>
      <c r="J330" s="14">
        <f>IFERROR(VLOOKUP(G330,SKU_Cost_Input!$A$2:$E$16,2,FALSE),0)</f>
        <v/>
      </c>
      <c r="K330" s="18">
        <f>IF(J330=0,0,I330/J330)</f>
        <v/>
      </c>
      <c r="L330" s="18">
        <f>K330</f>
        <v/>
      </c>
      <c r="M330" s="14" t="inlineStr">
        <is>
          <t>Exact company email match</t>
        </is>
      </c>
      <c r="N330" s="14" t="inlineStr">
        <is>
          <t>Review: E3 may be downgradeable to E1 or Business Basic</t>
        </is>
      </c>
    </row>
    <row r="331">
      <c r="A331" s="14" t="inlineStr">
        <is>
          <t>philip@WearCheckRS.com</t>
        </is>
      </c>
      <c r="B331" s="14" t="inlineStr">
        <is>
          <t>Philip Schutte</t>
        </is>
      </c>
      <c r="C331" s="14" t="inlineStr">
        <is>
          <t>RS</t>
        </is>
      </c>
      <c r="D331" s="14" t="inlineStr">
        <is>
          <t>WC253</t>
        </is>
      </c>
      <c r="E331" s="14" t="inlineStr">
        <is>
          <t>Matched</t>
        </is>
      </c>
      <c r="F331" s="14" t="inlineStr">
        <is>
          <t>No</t>
        </is>
      </c>
      <c r="G331" s="14" t="inlineStr">
        <is>
          <t>Microsoft Power Automate Free</t>
        </is>
      </c>
      <c r="H331" s="14" t="inlineStr">
        <is>
          <t>Likely free / trial</t>
        </is>
      </c>
      <c r="I331" s="18">
        <f>IFERROR(VLOOKUP(G331,SKU_Cost_Input!$A$2:$E$16,4,FALSE),0)</f>
        <v/>
      </c>
      <c r="J331" s="14">
        <f>IFERROR(VLOOKUP(G331,SKU_Cost_Input!$A$2:$E$16,2,FALSE),0)</f>
        <v/>
      </c>
      <c r="K331" s="18">
        <f>IF(J331=0,0,I331/J331)</f>
        <v/>
      </c>
      <c r="L331" s="18">
        <f>K331</f>
        <v/>
      </c>
      <c r="M331" s="14" t="inlineStr">
        <is>
          <t>Exact company email match</t>
        </is>
      </c>
      <c r="N331" s="14" t="inlineStr"/>
    </row>
    <row r="332">
      <c r="A332" s="14" t="inlineStr">
        <is>
          <t>Philip_Zoho@WearCheckRS.com</t>
        </is>
      </c>
      <c r="B332" s="14" t="inlineStr">
        <is>
          <t>Philip Zoho</t>
        </is>
      </c>
      <c r="C332" s="14" t="inlineStr">
        <is>
          <t>RS</t>
        </is>
      </c>
      <c r="D332" s="14" t="inlineStr">
        <is>
          <t>WC253</t>
        </is>
      </c>
      <c r="E332" s="14" t="inlineStr">
        <is>
          <t>Matched</t>
        </is>
      </c>
      <c r="F332" s="14" t="inlineStr">
        <is>
          <t>No</t>
        </is>
      </c>
      <c r="G332" s="14" t="inlineStr">
        <is>
          <t>Microsoft 365 Business Standard</t>
        </is>
      </c>
      <c r="H332" s="14" t="inlineStr">
        <is>
          <t>Likely billable</t>
        </is>
      </c>
      <c r="I332" s="18">
        <f>IFERROR(VLOOKUP(G332,SKU_Cost_Input!$A$2:$E$16,4,FALSE),0)</f>
        <v/>
      </c>
      <c r="J332" s="14">
        <f>IFERROR(VLOOKUP(G332,SKU_Cost_Input!$A$2:$E$16,2,FALSE),0)</f>
        <v/>
      </c>
      <c r="K332" s="18">
        <f>IF(J332=0,0,I332/J332)</f>
        <v/>
      </c>
      <c r="L332" s="18">
        <f>K332</f>
        <v/>
      </c>
      <c r="M332" s="14" t="inlineStr">
        <is>
          <t>Matched via email alias/local-part</t>
        </is>
      </c>
      <c r="N332" s="14" t="inlineStr">
        <is>
          <t>Review: Business Standard — consider Business Basic if sufficient</t>
        </is>
      </c>
    </row>
    <row r="333">
      <c r="A333" s="14" t="inlineStr">
        <is>
          <t>Placido@WearCheckRS.com</t>
        </is>
      </c>
      <c r="B333" s="14" t="inlineStr">
        <is>
          <t>Placido Maculuve</t>
        </is>
      </c>
      <c r="C333" s="14" t="inlineStr">
        <is>
          <t>Mozambique</t>
        </is>
      </c>
      <c r="D333" s="14" t="inlineStr">
        <is>
          <t>Unknown</t>
        </is>
      </c>
      <c r="E333" s="14" t="inlineStr">
        <is>
          <t>Matched</t>
        </is>
      </c>
      <c r="F333" s="14" t="inlineStr">
        <is>
          <t>No</t>
        </is>
      </c>
      <c r="G333" s="14" t="inlineStr">
        <is>
          <t>Microsoft Defender for Office 365 (Plan 2)</t>
        </is>
      </c>
      <c r="H333" s="14" t="inlineStr">
        <is>
          <t>Likely billable</t>
        </is>
      </c>
      <c r="I333" s="18">
        <f>IFERROR(VLOOKUP(G333,SKU_Cost_Input!$A$2:$E$16,4,FALSE),0)</f>
        <v/>
      </c>
      <c r="J333" s="14">
        <f>IFERROR(VLOOKUP(G333,SKU_Cost_Input!$A$2:$E$16,2,FALSE),0)</f>
        <v/>
      </c>
      <c r="K333" s="18">
        <f>IF(J333=0,0,I333/J333)</f>
        <v/>
      </c>
      <c r="L333" s="18">
        <f>K333</f>
        <v/>
      </c>
      <c r="M333" s="14" t="inlineStr">
        <is>
          <t>Exact company email match</t>
        </is>
      </c>
      <c r="N333" s="14" t="inlineStr"/>
    </row>
    <row r="334">
      <c r="A334" s="14" t="inlineStr">
        <is>
          <t>Placido@WearCheckRS.com</t>
        </is>
      </c>
      <c r="B334" s="14" t="inlineStr">
        <is>
          <t>Placido Maculuve</t>
        </is>
      </c>
      <c r="C334" s="14" t="inlineStr">
        <is>
          <t>Mozambique</t>
        </is>
      </c>
      <c r="D334" s="14" t="inlineStr">
        <is>
          <t>Unknown</t>
        </is>
      </c>
      <c r="E334" s="14" t="inlineStr">
        <is>
          <t>Matched</t>
        </is>
      </c>
      <c r="F334" s="14" t="inlineStr">
        <is>
          <t>No</t>
        </is>
      </c>
      <c r="G334" s="14" t="inlineStr">
        <is>
          <t>Microsoft Fabric (Free)</t>
        </is>
      </c>
      <c r="H334" s="14" t="inlineStr">
        <is>
          <t>Likely free / trial</t>
        </is>
      </c>
      <c r="I334" s="18">
        <f>IFERROR(VLOOKUP(G334,SKU_Cost_Input!$A$2:$E$16,4,FALSE),0)</f>
        <v/>
      </c>
      <c r="J334" s="14">
        <f>IFERROR(VLOOKUP(G334,SKU_Cost_Input!$A$2:$E$16,2,FALSE),0)</f>
        <v/>
      </c>
      <c r="K334" s="18">
        <f>IF(J334=0,0,I334/J334)</f>
        <v/>
      </c>
      <c r="L334" s="18">
        <f>K334</f>
        <v/>
      </c>
      <c r="M334" s="14" t="inlineStr">
        <is>
          <t>Exact company email match</t>
        </is>
      </c>
      <c r="N334" s="14" t="inlineStr"/>
    </row>
    <row r="335">
      <c r="A335" s="14" t="inlineStr">
        <is>
          <t>Placido@WearCheckRS.com</t>
        </is>
      </c>
      <c r="B335" s="14" t="inlineStr">
        <is>
          <t>Placido Maculuve</t>
        </is>
      </c>
      <c r="C335" s="14" t="inlineStr">
        <is>
          <t>Mozambique</t>
        </is>
      </c>
      <c r="D335" s="14" t="inlineStr">
        <is>
          <t>Unknown</t>
        </is>
      </c>
      <c r="E335" s="14" t="inlineStr">
        <is>
          <t>Matched</t>
        </is>
      </c>
      <c r="F335" s="14" t="inlineStr">
        <is>
          <t>No</t>
        </is>
      </c>
      <c r="G335" s="14" t="inlineStr">
        <is>
          <t>Microsoft 365 Business Standard</t>
        </is>
      </c>
      <c r="H335" s="14" t="inlineStr">
        <is>
          <t>Likely billable</t>
        </is>
      </c>
      <c r="I335" s="18">
        <f>IFERROR(VLOOKUP(G335,SKU_Cost_Input!$A$2:$E$16,4,FALSE),0)</f>
        <v/>
      </c>
      <c r="J335" s="14">
        <f>IFERROR(VLOOKUP(G335,SKU_Cost_Input!$A$2:$E$16,2,FALSE),0)</f>
        <v/>
      </c>
      <c r="K335" s="18">
        <f>IF(J335=0,0,I335/J335)</f>
        <v/>
      </c>
      <c r="L335" s="18">
        <f>K335</f>
        <v/>
      </c>
      <c r="M335" s="14" t="inlineStr">
        <is>
          <t>Exact company email match</t>
        </is>
      </c>
      <c r="N335" s="14" t="inlineStr">
        <is>
          <t>Review: Business Standard — consider Business Basic if sufficient</t>
        </is>
      </c>
    </row>
    <row r="336">
      <c r="A336" s="14" t="inlineStr">
        <is>
          <t>srv_acc_pbi_gw@WearCheckRS.com</t>
        </is>
      </c>
      <c r="B336" s="14" t="inlineStr">
        <is>
          <t>Power Bi Gateway Service Account</t>
        </is>
      </c>
      <c r="C336" s="14" t="inlineStr">
        <is>
          <t>RS</t>
        </is>
      </c>
      <c r="D336" s="14" t="n"/>
      <c r="E336" s="14" t="inlineStr">
        <is>
          <t>Mapped by rule</t>
        </is>
      </c>
      <c r="F336" s="14" t="inlineStr">
        <is>
          <t>No</t>
        </is>
      </c>
      <c r="G336" s="14" t="inlineStr">
        <is>
          <t>Microsoft Power Automate Free</t>
        </is>
      </c>
      <c r="H336" s="14" t="inlineStr">
        <is>
          <t>Likely free / trial</t>
        </is>
      </c>
      <c r="I336" s="18">
        <f>IFERROR(VLOOKUP(G336,SKU_Cost_Input!$A$2:$E$16,4,FALSE),0)</f>
        <v/>
      </c>
      <c r="J336" s="14">
        <f>IFERROR(VLOOKUP(G336,SKU_Cost_Input!$A$2:$E$16,2,FALSE),0)</f>
        <v/>
      </c>
      <c r="K336" s="18">
        <f>IF(J336=0,0,I336/J336)</f>
        <v/>
      </c>
      <c r="L336" s="18">
        <f>K336</f>
        <v/>
      </c>
      <c r="M336" s="14" t="inlineStr">
        <is>
          <t>Generic/shared/service account defaulted to RS per instruction</t>
        </is>
      </c>
      <c r="N336" s="14" t="inlineStr"/>
    </row>
    <row r="337">
      <c r="A337" s="14" t="inlineStr">
        <is>
          <t>srv_acc_pbi_gw@WearCheckRS.com</t>
        </is>
      </c>
      <c r="B337" s="14" t="inlineStr">
        <is>
          <t>Power Bi Gateway Service Account</t>
        </is>
      </c>
      <c r="C337" s="14" t="inlineStr">
        <is>
          <t>RS</t>
        </is>
      </c>
      <c r="D337" s="14" t="n"/>
      <c r="E337" s="14" t="inlineStr">
        <is>
          <t>Mapped by rule</t>
        </is>
      </c>
      <c r="F337" s="14" t="inlineStr">
        <is>
          <t>No</t>
        </is>
      </c>
      <c r="G337" s="14" t="inlineStr">
        <is>
          <t>Power BI Premium Per User</t>
        </is>
      </c>
      <c r="H337" s="14" t="inlineStr">
        <is>
          <t>Likely billable</t>
        </is>
      </c>
      <c r="I337" s="18">
        <f>IFERROR(VLOOKUP(G337,SKU_Cost_Input!$A$2:$E$16,4,FALSE),0)</f>
        <v/>
      </c>
      <c r="J337" s="14">
        <f>IFERROR(VLOOKUP(G337,SKU_Cost_Input!$A$2:$E$16,2,FALSE),0)</f>
        <v/>
      </c>
      <c r="K337" s="18">
        <f>IF(J337=0,0,I337/J337)</f>
        <v/>
      </c>
      <c r="L337" s="18">
        <f>K337</f>
        <v/>
      </c>
      <c r="M337" s="14" t="inlineStr">
        <is>
          <t>Generic/shared/service account defaulted to RS per instruction</t>
        </is>
      </c>
      <c r="N337" s="14" t="inlineStr"/>
    </row>
    <row r="338">
      <c r="A338" s="14" t="inlineStr">
        <is>
          <t>srv_acc_pbi_gw@WearCheckRS.com</t>
        </is>
      </c>
      <c r="B338" s="14" t="inlineStr">
        <is>
          <t>Power Bi Gateway Service Account</t>
        </is>
      </c>
      <c r="C338" s="14" t="inlineStr">
        <is>
          <t>RS</t>
        </is>
      </c>
      <c r="D338" s="14" t="n"/>
      <c r="E338" s="14" t="inlineStr">
        <is>
          <t>Mapped by rule</t>
        </is>
      </c>
      <c r="F338" s="14" t="inlineStr">
        <is>
          <t>No</t>
        </is>
      </c>
      <c r="G338" s="14" t="inlineStr">
        <is>
          <t>Exchange Online (Plan 1)</t>
        </is>
      </c>
      <c r="H338" s="14" t="inlineStr">
        <is>
          <t>Likely billable</t>
        </is>
      </c>
      <c r="I338" s="18">
        <f>IFERROR(VLOOKUP(G338,SKU_Cost_Input!$A$2:$E$16,4,FALSE),0)</f>
        <v/>
      </c>
      <c r="J338" s="14">
        <f>IFERROR(VLOOKUP(G338,SKU_Cost_Input!$A$2:$E$16,2,FALSE),0)</f>
        <v/>
      </c>
      <c r="K338" s="18">
        <f>IF(J338=0,0,I338/J338)</f>
        <v/>
      </c>
      <c r="L338" s="18">
        <f>K338</f>
        <v/>
      </c>
      <c r="M338" s="14" t="inlineStr">
        <is>
          <t>Generic/shared/service account defaulted to RS per instruction</t>
        </is>
      </c>
      <c r="N338" s="14" t="inlineStr"/>
    </row>
    <row r="339">
      <c r="A339" s="14" t="inlineStr">
        <is>
          <t>printer@WearCheckRS.com</t>
        </is>
      </c>
      <c r="B339" s="14" t="inlineStr">
        <is>
          <t>Printer  Account</t>
        </is>
      </c>
      <c r="C339" s="14" t="inlineStr">
        <is>
          <t>RS</t>
        </is>
      </c>
      <c r="D339" s="14" t="n"/>
      <c r="E339" s="14" t="inlineStr">
        <is>
          <t>Mapped by rule</t>
        </is>
      </c>
      <c r="F339" s="14" t="inlineStr">
        <is>
          <t>No</t>
        </is>
      </c>
      <c r="G339" s="14" t="inlineStr">
        <is>
          <t>Exchange Online (Plan 1)</t>
        </is>
      </c>
      <c r="H339" s="14" t="inlineStr">
        <is>
          <t>Likely billable</t>
        </is>
      </c>
      <c r="I339" s="18">
        <f>IFERROR(VLOOKUP(G339,SKU_Cost_Input!$A$2:$E$16,4,FALSE),0)</f>
        <v/>
      </c>
      <c r="J339" s="14">
        <f>IFERROR(VLOOKUP(G339,SKU_Cost_Input!$A$2:$E$16,2,FALSE),0)</f>
        <v/>
      </c>
      <c r="K339" s="18">
        <f>IF(J339=0,0,I339/J339)</f>
        <v/>
      </c>
      <c r="L339" s="18">
        <f>K339</f>
        <v/>
      </c>
      <c r="M339" s="14" t="inlineStr">
        <is>
          <t>Generic/shared/service account defaulted to RS per instruction</t>
        </is>
      </c>
      <c r="N339" s="14" t="inlineStr"/>
    </row>
    <row r="340">
      <c r="A340" s="14" t="inlineStr">
        <is>
          <t>rakcal@WearCheckRS.com</t>
        </is>
      </c>
      <c r="B340" s="14" t="inlineStr">
        <is>
          <t>Rakcal Balaram</t>
        </is>
      </c>
      <c r="C340" s="14" t="inlineStr">
        <is>
          <t>RS</t>
        </is>
      </c>
      <c r="D340" s="14" t="inlineStr">
        <is>
          <t>WEC074</t>
        </is>
      </c>
      <c r="E340" s="14" t="inlineStr">
        <is>
          <t>Matched</t>
        </is>
      </c>
      <c r="F340" s="14" t="inlineStr">
        <is>
          <t>No</t>
        </is>
      </c>
      <c r="G340" s="14" t="inlineStr">
        <is>
          <t>Microsoft Defender for Office 365 (Plan 2)</t>
        </is>
      </c>
      <c r="H340" s="14" t="inlineStr">
        <is>
          <t>Likely billable</t>
        </is>
      </c>
      <c r="I340" s="18">
        <f>IFERROR(VLOOKUP(G340,SKU_Cost_Input!$A$2:$E$16,4,FALSE),0)</f>
        <v/>
      </c>
      <c r="J340" s="14">
        <f>IFERROR(VLOOKUP(G340,SKU_Cost_Input!$A$2:$E$16,2,FALSE),0)</f>
        <v/>
      </c>
      <c r="K340" s="18">
        <f>IF(J340=0,0,I340/J340)</f>
        <v/>
      </c>
      <c r="L340" s="18">
        <f>K340</f>
        <v/>
      </c>
      <c r="M340" s="14" t="inlineStr">
        <is>
          <t>Exact company email match</t>
        </is>
      </c>
      <c r="N340" s="14" t="inlineStr"/>
    </row>
    <row r="341">
      <c r="A341" s="14" t="inlineStr">
        <is>
          <t>rakcal@WearCheckRS.com</t>
        </is>
      </c>
      <c r="B341" s="14" t="inlineStr">
        <is>
          <t>Rakcal Balaram</t>
        </is>
      </c>
      <c r="C341" s="14" t="inlineStr">
        <is>
          <t>RS</t>
        </is>
      </c>
      <c r="D341" s="14" t="inlineStr">
        <is>
          <t>WEC074</t>
        </is>
      </c>
      <c r="E341" s="14" t="inlineStr">
        <is>
          <t>Matched</t>
        </is>
      </c>
      <c r="F341" s="14" t="inlineStr">
        <is>
          <t>No</t>
        </is>
      </c>
      <c r="G341" s="14" t="inlineStr">
        <is>
          <t>Microsoft 365 Business Standard</t>
        </is>
      </c>
      <c r="H341" s="14" t="inlineStr">
        <is>
          <t>Likely billable</t>
        </is>
      </c>
      <c r="I341" s="18">
        <f>IFERROR(VLOOKUP(G341,SKU_Cost_Input!$A$2:$E$16,4,FALSE),0)</f>
        <v/>
      </c>
      <c r="J341" s="14">
        <f>IFERROR(VLOOKUP(G341,SKU_Cost_Input!$A$2:$E$16,2,FALSE),0)</f>
        <v/>
      </c>
      <c r="K341" s="18">
        <f>IF(J341=0,0,I341/J341)</f>
        <v/>
      </c>
      <c r="L341" s="18">
        <f>K341</f>
        <v/>
      </c>
      <c r="M341" s="14" t="inlineStr">
        <is>
          <t>Exact company email match</t>
        </is>
      </c>
      <c r="N341" s="14" t="inlineStr">
        <is>
          <t>Review: Business Standard — consider Business Basic if sufficient</t>
        </is>
      </c>
    </row>
    <row r="342">
      <c r="A342" s="14" t="inlineStr">
        <is>
          <t>reinierk@wearcheckrs.com</t>
        </is>
      </c>
      <c r="B342" s="14" t="inlineStr">
        <is>
          <t>Reinier Kalp</t>
        </is>
      </c>
      <c r="C342" s="14" t="inlineStr">
        <is>
          <t>RS</t>
        </is>
      </c>
      <c r="D342" s="14" t="inlineStr">
        <is>
          <t>WC382</t>
        </is>
      </c>
      <c r="E342" s="14" t="inlineStr">
        <is>
          <t>Matched</t>
        </is>
      </c>
      <c r="F342" s="14" t="inlineStr">
        <is>
          <t>No</t>
        </is>
      </c>
      <c r="G342" s="14" t="inlineStr">
        <is>
          <t>Microsoft 365 Business Premium</t>
        </is>
      </c>
      <c r="H342" s="14" t="inlineStr">
        <is>
          <t>Likely billable</t>
        </is>
      </c>
      <c r="I342" s="18">
        <f>IFERROR(VLOOKUP(G342,SKU_Cost_Input!$A$2:$E$16,4,FALSE),0)</f>
        <v/>
      </c>
      <c r="J342" s="14">
        <f>IFERROR(VLOOKUP(G342,SKU_Cost_Input!$A$2:$E$16,2,FALSE),0)</f>
        <v/>
      </c>
      <c r="K342" s="18">
        <f>IF(J342=0,0,I342/J342)</f>
        <v/>
      </c>
      <c r="L342" s="18">
        <f>K342</f>
        <v/>
      </c>
      <c r="M342" s="14" t="inlineStr">
        <is>
          <t>Exact company email match</t>
        </is>
      </c>
      <c r="N342" s="14" t="inlineStr">
        <is>
          <t>Review: Business Premium — consider Business Basic/Standard</t>
        </is>
      </c>
    </row>
    <row r="343">
      <c r="A343" s="14" t="inlineStr">
        <is>
          <t>reinierk@wearcheckrs.com</t>
        </is>
      </c>
      <c r="B343" s="14" t="inlineStr">
        <is>
          <t>Reinier Kalp</t>
        </is>
      </c>
      <c r="C343" s="14" t="inlineStr">
        <is>
          <t>RS</t>
        </is>
      </c>
      <c r="D343" s="14" t="inlineStr">
        <is>
          <t>WC382</t>
        </is>
      </c>
      <c r="E343" s="14" t="inlineStr">
        <is>
          <t>Matched</t>
        </is>
      </c>
      <c r="F343" s="14" t="inlineStr">
        <is>
          <t>No</t>
        </is>
      </c>
      <c r="G343" s="14" t="inlineStr">
        <is>
          <t>Microsoft Defender for Office 365 (Plan 2)</t>
        </is>
      </c>
      <c r="H343" s="14" t="inlineStr">
        <is>
          <t>Likely billable</t>
        </is>
      </c>
      <c r="I343" s="18">
        <f>IFERROR(VLOOKUP(G343,SKU_Cost_Input!$A$2:$E$16,4,FALSE),0)</f>
        <v/>
      </c>
      <c r="J343" s="14">
        <f>IFERROR(VLOOKUP(G343,SKU_Cost_Input!$A$2:$E$16,2,FALSE),0)</f>
        <v/>
      </c>
      <c r="K343" s="18">
        <f>IF(J343=0,0,I343/J343)</f>
        <v/>
      </c>
      <c r="L343" s="18">
        <f>K343</f>
        <v/>
      </c>
      <c r="M343" s="14" t="inlineStr">
        <is>
          <t>Exact company email match</t>
        </is>
      </c>
      <c r="N343" s="14" t="inlineStr"/>
    </row>
    <row r="344">
      <c r="A344" s="14" t="inlineStr">
        <is>
          <t>reinierk@wearcheckrs.com</t>
        </is>
      </c>
      <c r="B344" s="14" t="inlineStr">
        <is>
          <t>Reinier Kalp</t>
        </is>
      </c>
      <c r="C344" s="14" t="inlineStr">
        <is>
          <t>RS</t>
        </is>
      </c>
      <c r="D344" s="14" t="inlineStr">
        <is>
          <t>WC382</t>
        </is>
      </c>
      <c r="E344" s="14" t="inlineStr">
        <is>
          <t>Matched</t>
        </is>
      </c>
      <c r="F344" s="14" t="inlineStr">
        <is>
          <t>No</t>
        </is>
      </c>
      <c r="G344" s="14" t="inlineStr">
        <is>
          <t>Microsoft Power Automate Free</t>
        </is>
      </c>
      <c r="H344" s="14" t="inlineStr">
        <is>
          <t>Likely free / trial</t>
        </is>
      </c>
      <c r="I344" s="18">
        <f>IFERROR(VLOOKUP(G344,SKU_Cost_Input!$A$2:$E$16,4,FALSE),0)</f>
        <v/>
      </c>
      <c r="J344" s="14">
        <f>IFERROR(VLOOKUP(G344,SKU_Cost_Input!$A$2:$E$16,2,FALSE),0)</f>
        <v/>
      </c>
      <c r="K344" s="18">
        <f>IF(J344=0,0,I344/J344)</f>
        <v/>
      </c>
      <c r="L344" s="18">
        <f>K344</f>
        <v/>
      </c>
      <c r="M344" s="14" t="inlineStr">
        <is>
          <t>Exact company email match</t>
        </is>
      </c>
      <c r="N344" s="14" t="inlineStr"/>
    </row>
    <row r="345">
      <c r="A345" s="14" t="inlineStr">
        <is>
          <t>reinierk@wearcheckrs.com</t>
        </is>
      </c>
      <c r="B345" s="14" t="inlineStr">
        <is>
          <t>Reinier Kalp</t>
        </is>
      </c>
      <c r="C345" s="14" t="inlineStr">
        <is>
          <t>RS</t>
        </is>
      </c>
      <c r="D345" s="14" t="inlineStr">
        <is>
          <t>WC382</t>
        </is>
      </c>
      <c r="E345" s="14" t="inlineStr">
        <is>
          <t>Matched</t>
        </is>
      </c>
      <c r="F345" s="14" t="inlineStr">
        <is>
          <t>No</t>
        </is>
      </c>
      <c r="G345" s="14" t="inlineStr">
        <is>
          <t>Microsoft Fabric (Free)</t>
        </is>
      </c>
      <c r="H345" s="14" t="inlineStr">
        <is>
          <t>Likely free / trial</t>
        </is>
      </c>
      <c r="I345" s="18">
        <f>IFERROR(VLOOKUP(G345,SKU_Cost_Input!$A$2:$E$16,4,FALSE),0)</f>
        <v/>
      </c>
      <c r="J345" s="14">
        <f>IFERROR(VLOOKUP(G345,SKU_Cost_Input!$A$2:$E$16,2,FALSE),0)</f>
        <v/>
      </c>
      <c r="K345" s="18">
        <f>IF(J345=0,0,I345/J345)</f>
        <v/>
      </c>
      <c r="L345" s="18">
        <f>K345</f>
        <v/>
      </c>
      <c r="M345" s="14" t="inlineStr">
        <is>
          <t>Exact company email match</t>
        </is>
      </c>
      <c r="N345" s="14" t="inlineStr"/>
    </row>
    <row r="346">
      <c r="A346" s="14" t="inlineStr">
        <is>
          <t>rac.admin@WearCheckRS.com</t>
        </is>
      </c>
      <c r="B346" s="14" t="inlineStr">
        <is>
          <t>Remote Analysis Centre Admin</t>
        </is>
      </c>
      <c r="C346" s="14" t="inlineStr">
        <is>
          <t>RS</t>
        </is>
      </c>
      <c r="D346" s="14" t="n"/>
      <c r="E346" s="14" t="inlineStr">
        <is>
          <t>Mapped by rule</t>
        </is>
      </c>
      <c r="F346" s="14" t="inlineStr">
        <is>
          <t>No</t>
        </is>
      </c>
      <c r="G346" s="14" t="inlineStr">
        <is>
          <t>Microsoft Defender for Office 365 (Plan 2)</t>
        </is>
      </c>
      <c r="H346" s="14" t="inlineStr">
        <is>
          <t>Likely billable</t>
        </is>
      </c>
      <c r="I346" s="18">
        <f>IFERROR(VLOOKUP(G346,SKU_Cost_Input!$A$2:$E$16,4,FALSE),0)</f>
        <v/>
      </c>
      <c r="J346" s="14">
        <f>IFERROR(VLOOKUP(G346,SKU_Cost_Input!$A$2:$E$16,2,FALSE),0)</f>
        <v/>
      </c>
      <c r="K346" s="18">
        <f>IF(J346=0,0,I346/J346)</f>
        <v/>
      </c>
      <c r="L346" s="18">
        <f>K346</f>
        <v/>
      </c>
      <c r="M346" s="14" t="inlineStr">
        <is>
          <t>Generic/shared/service account defaulted to RS per instruction</t>
        </is>
      </c>
      <c r="N346" s="14" t="inlineStr"/>
    </row>
    <row r="347">
      <c r="A347" s="14" t="inlineStr">
        <is>
          <t>rac.admin@WearCheckRS.com</t>
        </is>
      </c>
      <c r="B347" s="14" t="inlineStr">
        <is>
          <t>Remote Analysis Centre Admin</t>
        </is>
      </c>
      <c r="C347" s="14" t="inlineStr">
        <is>
          <t>RS</t>
        </is>
      </c>
      <c r="D347" s="14" t="n"/>
      <c r="E347" s="14" t="inlineStr">
        <is>
          <t>Mapped by rule</t>
        </is>
      </c>
      <c r="F347" s="14" t="inlineStr">
        <is>
          <t>No</t>
        </is>
      </c>
      <c r="G347" s="14" t="inlineStr">
        <is>
          <t>Microsoft 365 E3</t>
        </is>
      </c>
      <c r="H347" s="14" t="inlineStr">
        <is>
          <t>Likely billable</t>
        </is>
      </c>
      <c r="I347" s="18">
        <f>IFERROR(VLOOKUP(G347,SKU_Cost_Input!$A$2:$E$16,4,FALSE),0)</f>
        <v/>
      </c>
      <c r="J347" s="14">
        <f>IFERROR(VLOOKUP(G347,SKU_Cost_Input!$A$2:$E$16,2,FALSE),0)</f>
        <v/>
      </c>
      <c r="K347" s="18">
        <f>IF(J347=0,0,I347/J347)</f>
        <v/>
      </c>
      <c r="L347" s="18">
        <f>K347</f>
        <v/>
      </c>
      <c r="M347" s="14" t="inlineStr">
        <is>
          <t>Generic/shared/service account defaulted to RS per instruction</t>
        </is>
      </c>
      <c r="N347" s="14" t="inlineStr">
        <is>
          <t>Review: E3 may be downgradeable to E1 or Business Basic</t>
        </is>
      </c>
    </row>
    <row r="348">
      <c r="A348" s="14" t="inlineStr">
        <is>
          <t>RiaandB@WearCheckRS.com</t>
        </is>
      </c>
      <c r="B348" s="14" t="inlineStr">
        <is>
          <t>Riaan De Beer</t>
        </is>
      </c>
      <c r="C348" s="14" t="inlineStr">
        <is>
          <t>RS</t>
        </is>
      </c>
      <c r="D348" s="14" t="inlineStr">
        <is>
          <t>WC363</t>
        </is>
      </c>
      <c r="E348" s="14" t="inlineStr">
        <is>
          <t>Matched</t>
        </is>
      </c>
      <c r="F348" s="14" t="inlineStr">
        <is>
          <t>No</t>
        </is>
      </c>
      <c r="G348" s="14" t="inlineStr">
        <is>
          <t>Microsoft Defender for Office 365 (Plan 2)</t>
        </is>
      </c>
      <c r="H348" s="14" t="inlineStr">
        <is>
          <t>Likely billable</t>
        </is>
      </c>
      <c r="I348" s="18">
        <f>IFERROR(VLOOKUP(G348,SKU_Cost_Input!$A$2:$E$16,4,FALSE),0)</f>
        <v/>
      </c>
      <c r="J348" s="14">
        <f>IFERROR(VLOOKUP(G348,SKU_Cost_Input!$A$2:$E$16,2,FALSE),0)</f>
        <v/>
      </c>
      <c r="K348" s="18">
        <f>IF(J348=0,0,I348/J348)</f>
        <v/>
      </c>
      <c r="L348" s="18">
        <f>K348</f>
        <v/>
      </c>
      <c r="M348" s="14" t="inlineStr">
        <is>
          <t>Exact company email match</t>
        </is>
      </c>
      <c r="N348" s="14" t="inlineStr"/>
    </row>
    <row r="349">
      <c r="A349" s="14" t="inlineStr">
        <is>
          <t>RiaandB@WearCheckRS.com</t>
        </is>
      </c>
      <c r="B349" s="14" t="inlineStr">
        <is>
          <t>Riaan De Beer</t>
        </is>
      </c>
      <c r="C349" s="14" t="inlineStr">
        <is>
          <t>RS</t>
        </is>
      </c>
      <c r="D349" s="14" t="inlineStr">
        <is>
          <t>WC363</t>
        </is>
      </c>
      <c r="E349" s="14" t="inlineStr">
        <is>
          <t>Matched</t>
        </is>
      </c>
      <c r="F349" s="14" t="inlineStr">
        <is>
          <t>No</t>
        </is>
      </c>
      <c r="G349" s="14" t="inlineStr">
        <is>
          <t>Microsoft Fabric (Free)</t>
        </is>
      </c>
      <c r="H349" s="14" t="inlineStr">
        <is>
          <t>Likely free / trial</t>
        </is>
      </c>
      <c r="I349" s="18">
        <f>IFERROR(VLOOKUP(G349,SKU_Cost_Input!$A$2:$E$16,4,FALSE),0)</f>
        <v/>
      </c>
      <c r="J349" s="14">
        <f>IFERROR(VLOOKUP(G349,SKU_Cost_Input!$A$2:$E$16,2,FALSE),0)</f>
        <v/>
      </c>
      <c r="K349" s="18">
        <f>IF(J349=0,0,I349/J349)</f>
        <v/>
      </c>
      <c r="L349" s="18">
        <f>K349</f>
        <v/>
      </c>
      <c r="M349" s="14" t="inlineStr">
        <is>
          <t>Exact company email match</t>
        </is>
      </c>
      <c r="N349" s="14" t="inlineStr"/>
    </row>
    <row r="350">
      <c r="A350" s="14" t="inlineStr">
        <is>
          <t>RiaandB@WearCheckRS.com</t>
        </is>
      </c>
      <c r="B350" s="14" t="inlineStr">
        <is>
          <t>Riaan De Beer</t>
        </is>
      </c>
      <c r="C350" s="14" t="inlineStr">
        <is>
          <t>RS</t>
        </is>
      </c>
      <c r="D350" s="14" t="inlineStr">
        <is>
          <t>WC363</t>
        </is>
      </c>
      <c r="E350" s="14" t="inlineStr">
        <is>
          <t>Matched</t>
        </is>
      </c>
      <c r="F350" s="14" t="inlineStr">
        <is>
          <t>No</t>
        </is>
      </c>
      <c r="G350" s="14" t="inlineStr">
        <is>
          <t>Microsoft 365 Business Standard</t>
        </is>
      </c>
      <c r="H350" s="14" t="inlineStr">
        <is>
          <t>Likely billable</t>
        </is>
      </c>
      <c r="I350" s="18">
        <f>IFERROR(VLOOKUP(G350,SKU_Cost_Input!$A$2:$E$16,4,FALSE),0)</f>
        <v/>
      </c>
      <c r="J350" s="14">
        <f>IFERROR(VLOOKUP(G350,SKU_Cost_Input!$A$2:$E$16,2,FALSE),0)</f>
        <v/>
      </c>
      <c r="K350" s="18">
        <f>IF(J350=0,0,I350/J350)</f>
        <v/>
      </c>
      <c r="L350" s="18">
        <f>K350</f>
        <v/>
      </c>
      <c r="M350" s="14" t="inlineStr">
        <is>
          <t>Exact company email match</t>
        </is>
      </c>
      <c r="N350" s="14" t="inlineStr">
        <is>
          <t>Review: Business Standard — consider Business Basic if sufficient</t>
        </is>
      </c>
    </row>
    <row r="351">
      <c r="A351" s="14" t="inlineStr">
        <is>
          <t>RiaandB@WearCheckRS.com</t>
        </is>
      </c>
      <c r="B351" s="14" t="inlineStr">
        <is>
          <t>Riaan De Beer</t>
        </is>
      </c>
      <c r="C351" s="14" t="inlineStr">
        <is>
          <t>RS</t>
        </is>
      </c>
      <c r="D351" s="14" t="inlineStr">
        <is>
          <t>WC363</t>
        </is>
      </c>
      <c r="E351" s="14" t="inlineStr">
        <is>
          <t>Matched</t>
        </is>
      </c>
      <c r="F351" s="14" t="inlineStr">
        <is>
          <t>No</t>
        </is>
      </c>
      <c r="G351" s="14" t="inlineStr">
        <is>
          <t>Microsoft Power Automate Free</t>
        </is>
      </c>
      <c r="H351" s="14" t="inlineStr">
        <is>
          <t>Likely free / trial</t>
        </is>
      </c>
      <c r="I351" s="18">
        <f>IFERROR(VLOOKUP(G351,SKU_Cost_Input!$A$2:$E$16,4,FALSE),0)</f>
        <v/>
      </c>
      <c r="J351" s="14">
        <f>IFERROR(VLOOKUP(G351,SKU_Cost_Input!$A$2:$E$16,2,FALSE),0)</f>
        <v/>
      </c>
      <c r="K351" s="18">
        <f>IF(J351=0,0,I351/J351)</f>
        <v/>
      </c>
      <c r="L351" s="18">
        <f>K351</f>
        <v/>
      </c>
      <c r="M351" s="14" t="inlineStr">
        <is>
          <t>Exact company email match</t>
        </is>
      </c>
      <c r="N351" s="14" t="inlineStr"/>
    </row>
    <row r="352">
      <c r="A352" s="14" t="inlineStr">
        <is>
          <t>RiaanDP@WearCheckRS.com</t>
        </is>
      </c>
      <c r="B352" s="14" t="inlineStr">
        <is>
          <t>Riaan Du Plooy</t>
        </is>
      </c>
      <c r="C352" s="14" t="inlineStr">
        <is>
          <t>Mozambique</t>
        </is>
      </c>
      <c r="D352" s="14" t="inlineStr">
        <is>
          <t>WC591</t>
        </is>
      </c>
      <c r="E352" s="14" t="inlineStr">
        <is>
          <t>Matched</t>
        </is>
      </c>
      <c r="F352" s="14" t="inlineStr">
        <is>
          <t>No</t>
        </is>
      </c>
      <c r="G352" s="14" t="inlineStr">
        <is>
          <t>Microsoft 365 Business Premium</t>
        </is>
      </c>
      <c r="H352" s="14" t="inlineStr">
        <is>
          <t>Likely billable</t>
        </is>
      </c>
      <c r="I352" s="18">
        <f>IFERROR(VLOOKUP(G352,SKU_Cost_Input!$A$2:$E$16,4,FALSE),0)</f>
        <v/>
      </c>
      <c r="J352" s="14">
        <f>IFERROR(VLOOKUP(G352,SKU_Cost_Input!$A$2:$E$16,2,FALSE),0)</f>
        <v/>
      </c>
      <c r="K352" s="18">
        <f>IF(J352=0,0,I352/J352)</f>
        <v/>
      </c>
      <c r="L352" s="18">
        <f>K352</f>
        <v/>
      </c>
      <c r="M352" s="14" t="inlineStr">
        <is>
          <t>Exact company email match</t>
        </is>
      </c>
      <c r="N352" s="14" t="inlineStr">
        <is>
          <t>Review: Business Premium — consider Business Basic/Standard</t>
        </is>
      </c>
    </row>
    <row r="353">
      <c r="A353" s="14" t="inlineStr">
        <is>
          <t>RiaanDP@WearCheckRS.com</t>
        </is>
      </c>
      <c r="B353" s="14" t="inlineStr">
        <is>
          <t>Riaan Du Plooy</t>
        </is>
      </c>
      <c r="C353" s="14" t="inlineStr">
        <is>
          <t>Mozambique</t>
        </is>
      </c>
      <c r="D353" s="14" t="inlineStr">
        <is>
          <t>WC591</t>
        </is>
      </c>
      <c r="E353" s="14" t="inlineStr">
        <is>
          <t>Matched</t>
        </is>
      </c>
      <c r="F353" s="14" t="inlineStr">
        <is>
          <t>No</t>
        </is>
      </c>
      <c r="G353" s="14" t="inlineStr">
        <is>
          <t>Microsoft Defender for Office 365 (Plan 2)</t>
        </is>
      </c>
      <c r="H353" s="14" t="inlineStr">
        <is>
          <t>Likely billable</t>
        </is>
      </c>
      <c r="I353" s="18">
        <f>IFERROR(VLOOKUP(G353,SKU_Cost_Input!$A$2:$E$16,4,FALSE),0)</f>
        <v/>
      </c>
      <c r="J353" s="14">
        <f>IFERROR(VLOOKUP(G353,SKU_Cost_Input!$A$2:$E$16,2,FALSE),0)</f>
        <v/>
      </c>
      <c r="K353" s="18">
        <f>IF(J353=0,0,I353/J353)</f>
        <v/>
      </c>
      <c r="L353" s="18">
        <f>K353</f>
        <v/>
      </c>
      <c r="M353" s="14" t="inlineStr">
        <is>
          <t>Exact company email match</t>
        </is>
      </c>
      <c r="N353" s="14" t="inlineStr"/>
    </row>
    <row r="354">
      <c r="A354" s="14" t="inlineStr">
        <is>
          <t>RogerH@WearCheckRS.com</t>
        </is>
      </c>
      <c r="B354" s="14" t="inlineStr">
        <is>
          <t>Roger Henwood</t>
        </is>
      </c>
      <c r="C354" s="14" t="inlineStr">
        <is>
          <t>AFS</t>
        </is>
      </c>
      <c r="D354" s="14" t="inlineStr">
        <is>
          <t>WC504</t>
        </is>
      </c>
      <c r="E354" s="14" t="inlineStr">
        <is>
          <t>Matched</t>
        </is>
      </c>
      <c r="F354" s="14" t="inlineStr">
        <is>
          <t>No</t>
        </is>
      </c>
      <c r="G354" s="14" t="inlineStr">
        <is>
          <t>Microsoft Defender for Office 365 (Plan 2)</t>
        </is>
      </c>
      <c r="H354" s="14" t="inlineStr">
        <is>
          <t>Likely billable</t>
        </is>
      </c>
      <c r="I354" s="18">
        <f>IFERROR(VLOOKUP(G354,SKU_Cost_Input!$A$2:$E$16,4,FALSE),0)</f>
        <v/>
      </c>
      <c r="J354" s="14">
        <f>IFERROR(VLOOKUP(G354,SKU_Cost_Input!$A$2:$E$16,2,FALSE),0)</f>
        <v/>
      </c>
      <c r="K354" s="18">
        <f>IF(J354=0,0,I354/J354)</f>
        <v/>
      </c>
      <c r="L354" s="18">
        <f>K354</f>
        <v/>
      </c>
      <c r="M354" s="14" t="inlineStr">
        <is>
          <t>Exact company email match</t>
        </is>
      </c>
      <c r="N354" s="14" t="inlineStr"/>
    </row>
    <row r="355">
      <c r="A355" s="14" t="inlineStr">
        <is>
          <t>RogerH@WearCheckRS.com</t>
        </is>
      </c>
      <c r="B355" s="14" t="inlineStr">
        <is>
          <t>Roger Henwood</t>
        </is>
      </c>
      <c r="C355" s="14" t="inlineStr">
        <is>
          <t>AFS</t>
        </is>
      </c>
      <c r="D355" s="14" t="inlineStr">
        <is>
          <t>WC504</t>
        </is>
      </c>
      <c r="E355" s="14" t="inlineStr">
        <is>
          <t>Matched</t>
        </is>
      </c>
      <c r="F355" s="14" t="inlineStr">
        <is>
          <t>No</t>
        </is>
      </c>
      <c r="G355" s="14" t="inlineStr">
        <is>
          <t>Microsoft Power Automate Free</t>
        </is>
      </c>
      <c r="H355" s="14" t="inlineStr">
        <is>
          <t>Likely free / trial</t>
        </is>
      </c>
      <c r="I355" s="18">
        <f>IFERROR(VLOOKUP(G355,SKU_Cost_Input!$A$2:$E$16,4,FALSE),0)</f>
        <v/>
      </c>
      <c r="J355" s="14">
        <f>IFERROR(VLOOKUP(G355,SKU_Cost_Input!$A$2:$E$16,2,FALSE),0)</f>
        <v/>
      </c>
      <c r="K355" s="18">
        <f>IF(J355=0,0,I355/J355)</f>
        <v/>
      </c>
      <c r="L355" s="18">
        <f>K355</f>
        <v/>
      </c>
      <c r="M355" s="14" t="inlineStr">
        <is>
          <t>Exact company email match</t>
        </is>
      </c>
      <c r="N355" s="14" t="inlineStr"/>
    </row>
    <row r="356">
      <c r="A356" s="14" t="inlineStr">
        <is>
          <t>RogerH@WearCheckRS.com</t>
        </is>
      </c>
      <c r="B356" s="14" t="inlineStr">
        <is>
          <t>Roger Henwood</t>
        </is>
      </c>
      <c r="C356" s="14" t="inlineStr">
        <is>
          <t>AFS</t>
        </is>
      </c>
      <c r="D356" s="14" t="inlineStr">
        <is>
          <t>WC504</t>
        </is>
      </c>
      <c r="E356" s="14" t="inlineStr">
        <is>
          <t>Matched</t>
        </is>
      </c>
      <c r="F356" s="14" t="inlineStr">
        <is>
          <t>No</t>
        </is>
      </c>
      <c r="G356" s="14" t="inlineStr">
        <is>
          <t>Microsoft 365 Business Standard</t>
        </is>
      </c>
      <c r="H356" s="14" t="inlineStr">
        <is>
          <t>Likely billable</t>
        </is>
      </c>
      <c r="I356" s="18">
        <f>IFERROR(VLOOKUP(G356,SKU_Cost_Input!$A$2:$E$16,4,FALSE),0)</f>
        <v/>
      </c>
      <c r="J356" s="14">
        <f>IFERROR(VLOOKUP(G356,SKU_Cost_Input!$A$2:$E$16,2,FALSE),0)</f>
        <v/>
      </c>
      <c r="K356" s="18">
        <f>IF(J356=0,0,I356/J356)</f>
        <v/>
      </c>
      <c r="L356" s="18">
        <f>K356</f>
        <v/>
      </c>
      <c r="M356" s="14" t="inlineStr">
        <is>
          <t>Exact company email match</t>
        </is>
      </c>
      <c r="N356" s="14" t="inlineStr">
        <is>
          <t>Review: Business Standard — consider Business Basic if sufficient</t>
        </is>
      </c>
    </row>
    <row r="357">
      <c r="A357" s="14" t="inlineStr">
        <is>
          <t>rohan@WearCheckRS.com</t>
        </is>
      </c>
      <c r="B357" s="14" t="inlineStr">
        <is>
          <t>Rohan Willer</t>
        </is>
      </c>
      <c r="C357" s="14" t="inlineStr">
        <is>
          <t>Namibia</t>
        </is>
      </c>
      <c r="D357" s="14" t="inlineStr">
        <is>
          <t>WC381</t>
        </is>
      </c>
      <c r="E357" s="14" t="inlineStr">
        <is>
          <t>Matched</t>
        </is>
      </c>
      <c r="F357" s="14" t="inlineStr">
        <is>
          <t>No</t>
        </is>
      </c>
      <c r="G357" s="14" t="inlineStr">
        <is>
          <t>Microsoft 365 Business Premium</t>
        </is>
      </c>
      <c r="H357" s="14" t="inlineStr">
        <is>
          <t>Likely billable</t>
        </is>
      </c>
      <c r="I357" s="18">
        <f>IFERROR(VLOOKUP(G357,SKU_Cost_Input!$A$2:$E$16,4,FALSE),0)</f>
        <v/>
      </c>
      <c r="J357" s="14">
        <f>IFERROR(VLOOKUP(G357,SKU_Cost_Input!$A$2:$E$16,2,FALSE),0)</f>
        <v/>
      </c>
      <c r="K357" s="18">
        <f>IF(J357=0,0,I357/J357)</f>
        <v/>
      </c>
      <c r="L357" s="18">
        <f>K357</f>
        <v/>
      </c>
      <c r="M357" s="14" t="inlineStr">
        <is>
          <t>Exact company email match</t>
        </is>
      </c>
      <c r="N357" s="14" t="inlineStr">
        <is>
          <t>Review: Business Premium — consider Business Basic/Standard</t>
        </is>
      </c>
    </row>
    <row r="358">
      <c r="A358" s="14" t="inlineStr">
        <is>
          <t>rohan@WearCheckRS.com</t>
        </is>
      </c>
      <c r="B358" s="14" t="inlineStr">
        <is>
          <t>Rohan Willer</t>
        </is>
      </c>
      <c r="C358" s="14" t="inlineStr">
        <is>
          <t>Namibia</t>
        </is>
      </c>
      <c r="D358" s="14" t="inlineStr">
        <is>
          <t>WC381</t>
        </is>
      </c>
      <c r="E358" s="14" t="inlineStr">
        <is>
          <t>Matched</t>
        </is>
      </c>
      <c r="F358" s="14" t="inlineStr">
        <is>
          <t>No</t>
        </is>
      </c>
      <c r="G358" s="14" t="inlineStr">
        <is>
          <t>Microsoft Defender for Office 365 (Plan 2)</t>
        </is>
      </c>
      <c r="H358" s="14" t="inlineStr">
        <is>
          <t>Likely billable</t>
        </is>
      </c>
      <c r="I358" s="18">
        <f>IFERROR(VLOOKUP(G358,SKU_Cost_Input!$A$2:$E$16,4,FALSE),0)</f>
        <v/>
      </c>
      <c r="J358" s="14">
        <f>IFERROR(VLOOKUP(G358,SKU_Cost_Input!$A$2:$E$16,2,FALSE),0)</f>
        <v/>
      </c>
      <c r="K358" s="18">
        <f>IF(J358=0,0,I358/J358)</f>
        <v/>
      </c>
      <c r="L358" s="18">
        <f>K358</f>
        <v/>
      </c>
      <c r="M358" s="14" t="inlineStr">
        <is>
          <t>Exact company email match</t>
        </is>
      </c>
      <c r="N358" s="14" t="inlineStr"/>
    </row>
    <row r="359">
      <c r="A359" s="14" t="inlineStr">
        <is>
          <t>rohan@WearCheckRS.com</t>
        </is>
      </c>
      <c r="B359" s="14" t="inlineStr">
        <is>
          <t>Rohan Willer</t>
        </is>
      </c>
      <c r="C359" s="14" t="inlineStr">
        <is>
          <t>Namibia</t>
        </is>
      </c>
      <c r="D359" s="14" t="inlineStr">
        <is>
          <t>WC381</t>
        </is>
      </c>
      <c r="E359" s="14" t="inlineStr">
        <is>
          <t>Matched</t>
        </is>
      </c>
      <c r="F359" s="14" t="inlineStr">
        <is>
          <t>No</t>
        </is>
      </c>
      <c r="G359" s="14" t="inlineStr">
        <is>
          <t>Microsoft Power Automate Free</t>
        </is>
      </c>
      <c r="H359" s="14" t="inlineStr">
        <is>
          <t>Likely free / trial</t>
        </is>
      </c>
      <c r="I359" s="18">
        <f>IFERROR(VLOOKUP(G359,SKU_Cost_Input!$A$2:$E$16,4,FALSE),0)</f>
        <v/>
      </c>
      <c r="J359" s="14">
        <f>IFERROR(VLOOKUP(G359,SKU_Cost_Input!$A$2:$E$16,2,FALSE),0)</f>
        <v/>
      </c>
      <c r="K359" s="18">
        <f>IF(J359=0,0,I359/J359)</f>
        <v/>
      </c>
      <c r="L359" s="18">
        <f>K359</f>
        <v/>
      </c>
      <c r="M359" s="14" t="inlineStr">
        <is>
          <t>Exact company email match</t>
        </is>
      </c>
      <c r="N359" s="14" t="inlineStr"/>
    </row>
    <row r="360">
      <c r="A360" s="14" t="inlineStr">
        <is>
          <t>Rynhardt@WearCheckRS.com</t>
        </is>
      </c>
      <c r="B360" s="14" t="inlineStr">
        <is>
          <t>Rynhardt Meyer</t>
        </is>
      </c>
      <c r="C360" s="14" t="inlineStr">
        <is>
          <t>RS</t>
        </is>
      </c>
      <c r="D360" s="14" t="inlineStr">
        <is>
          <t>WEC096</t>
        </is>
      </c>
      <c r="E360" s="14" t="inlineStr">
        <is>
          <t>Matched</t>
        </is>
      </c>
      <c r="F360" s="14" t="inlineStr">
        <is>
          <t>No</t>
        </is>
      </c>
      <c r="G360" s="14" t="inlineStr">
        <is>
          <t>Microsoft Defender for Office 365 (Plan 2)</t>
        </is>
      </c>
      <c r="H360" s="14" t="inlineStr">
        <is>
          <t>Likely billable</t>
        </is>
      </c>
      <c r="I360" s="18">
        <f>IFERROR(VLOOKUP(G360,SKU_Cost_Input!$A$2:$E$16,4,FALSE),0)</f>
        <v/>
      </c>
      <c r="J360" s="14">
        <f>IFERROR(VLOOKUP(G360,SKU_Cost_Input!$A$2:$E$16,2,FALSE),0)</f>
        <v/>
      </c>
      <c r="K360" s="18">
        <f>IF(J360=0,0,I360/J360)</f>
        <v/>
      </c>
      <c r="L360" s="18">
        <f>K360</f>
        <v/>
      </c>
      <c r="M360" s="14" t="inlineStr">
        <is>
          <t>Exact company email match</t>
        </is>
      </c>
      <c r="N360" s="14" t="inlineStr"/>
    </row>
    <row r="361">
      <c r="A361" s="14" t="inlineStr">
        <is>
          <t>Rynhardt@WearCheckRS.com</t>
        </is>
      </c>
      <c r="B361" s="14" t="inlineStr">
        <is>
          <t>Rynhardt Meyer</t>
        </is>
      </c>
      <c r="C361" s="14" t="inlineStr">
        <is>
          <t>RS</t>
        </is>
      </c>
      <c r="D361" s="14" t="inlineStr">
        <is>
          <t>WEC096</t>
        </is>
      </c>
      <c r="E361" s="14" t="inlineStr">
        <is>
          <t>Matched</t>
        </is>
      </c>
      <c r="F361" s="14" t="inlineStr">
        <is>
          <t>No</t>
        </is>
      </c>
      <c r="G361" s="14" t="inlineStr">
        <is>
          <t>Microsoft 365 Business Standard</t>
        </is>
      </c>
      <c r="H361" s="14" t="inlineStr">
        <is>
          <t>Likely billable</t>
        </is>
      </c>
      <c r="I361" s="18">
        <f>IFERROR(VLOOKUP(G361,SKU_Cost_Input!$A$2:$E$16,4,FALSE),0)</f>
        <v/>
      </c>
      <c r="J361" s="14">
        <f>IFERROR(VLOOKUP(G361,SKU_Cost_Input!$A$2:$E$16,2,FALSE),0)</f>
        <v/>
      </c>
      <c r="K361" s="18">
        <f>IF(J361=0,0,I361/J361)</f>
        <v/>
      </c>
      <c r="L361" s="18">
        <f>K361</f>
        <v/>
      </c>
      <c r="M361" s="14" t="inlineStr">
        <is>
          <t>Exact company email match</t>
        </is>
      </c>
      <c r="N361" s="14" t="inlineStr">
        <is>
          <t>Review: Business Standard — consider Business Basic if sufficient</t>
        </is>
      </c>
    </row>
    <row r="362">
      <c r="A362" s="14" t="inlineStr">
        <is>
          <t>Rynhardt.Smit@WearCheckRS.com</t>
        </is>
      </c>
      <c r="B362" s="14" t="inlineStr">
        <is>
          <t>Rynhardt Smit</t>
        </is>
      </c>
      <c r="C362" s="14" t="inlineStr">
        <is>
          <t>AFS</t>
        </is>
      </c>
      <c r="D362" s="14" t="inlineStr">
        <is>
          <t>WC501</t>
        </is>
      </c>
      <c r="E362" s="14" t="inlineStr">
        <is>
          <t>Matched</t>
        </is>
      </c>
      <c r="F362" s="14" t="inlineStr">
        <is>
          <t>No</t>
        </is>
      </c>
      <c r="G362" s="14" t="inlineStr">
        <is>
          <t>Microsoft Defender for Office 365 (Plan 2)</t>
        </is>
      </c>
      <c r="H362" s="14" t="inlineStr">
        <is>
          <t>Likely billable</t>
        </is>
      </c>
      <c r="I362" s="18">
        <f>IFERROR(VLOOKUP(G362,SKU_Cost_Input!$A$2:$E$16,4,FALSE),0)</f>
        <v/>
      </c>
      <c r="J362" s="14">
        <f>IFERROR(VLOOKUP(G362,SKU_Cost_Input!$A$2:$E$16,2,FALSE),0)</f>
        <v/>
      </c>
      <c r="K362" s="18">
        <f>IF(J362=0,0,I362/J362)</f>
        <v/>
      </c>
      <c r="L362" s="18">
        <f>K362</f>
        <v/>
      </c>
      <c r="M362" s="14" t="inlineStr">
        <is>
          <t>Exact company email match</t>
        </is>
      </c>
      <c r="N362" s="14" t="inlineStr"/>
    </row>
    <row r="363">
      <c r="A363" s="14" t="inlineStr">
        <is>
          <t>Rynhardt.Smit@WearCheckRS.com</t>
        </is>
      </c>
      <c r="B363" s="14" t="inlineStr">
        <is>
          <t>Rynhardt Smit</t>
        </is>
      </c>
      <c r="C363" s="14" t="inlineStr">
        <is>
          <t>AFS</t>
        </is>
      </c>
      <c r="D363" s="14" t="inlineStr">
        <is>
          <t>WC501</t>
        </is>
      </c>
      <c r="E363" s="14" t="inlineStr">
        <is>
          <t>Matched</t>
        </is>
      </c>
      <c r="F363" s="14" t="inlineStr">
        <is>
          <t>No</t>
        </is>
      </c>
      <c r="G363" s="14" t="inlineStr">
        <is>
          <t>Microsoft 365 Business Standard</t>
        </is>
      </c>
      <c r="H363" s="14" t="inlineStr">
        <is>
          <t>Likely billable</t>
        </is>
      </c>
      <c r="I363" s="18">
        <f>IFERROR(VLOOKUP(G363,SKU_Cost_Input!$A$2:$E$16,4,FALSE),0)</f>
        <v/>
      </c>
      <c r="J363" s="14">
        <f>IFERROR(VLOOKUP(G363,SKU_Cost_Input!$A$2:$E$16,2,FALSE),0)</f>
        <v/>
      </c>
      <c r="K363" s="18">
        <f>IF(J363=0,0,I363/J363)</f>
        <v/>
      </c>
      <c r="L363" s="18">
        <f>K363</f>
        <v/>
      </c>
      <c r="M363" s="14" t="inlineStr">
        <is>
          <t>Exact company email match</t>
        </is>
      </c>
      <c r="N363" s="14" t="inlineStr">
        <is>
          <t>Review: Business Standard — consider Business Basic if sufficient</t>
        </is>
      </c>
    </row>
    <row r="364">
      <c r="A364" s="14" t="inlineStr">
        <is>
          <t>sergent@WearCheckRS.com</t>
        </is>
      </c>
      <c r="B364" s="14" t="inlineStr">
        <is>
          <t>Sergent Thlou</t>
        </is>
      </c>
      <c r="C364" s="14" t="inlineStr">
        <is>
          <t>RS</t>
        </is>
      </c>
      <c r="D364" s="14" t="inlineStr">
        <is>
          <t>WC264</t>
        </is>
      </c>
      <c r="E364" s="14" t="inlineStr">
        <is>
          <t>Matched</t>
        </is>
      </c>
      <c r="F364" s="14" t="inlineStr">
        <is>
          <t>No</t>
        </is>
      </c>
      <c r="G364" s="14" t="inlineStr">
        <is>
          <t>Microsoft Defender for Office 365 (Plan 2)</t>
        </is>
      </c>
      <c r="H364" s="14" t="inlineStr">
        <is>
          <t>Likely billable</t>
        </is>
      </c>
      <c r="I364" s="18">
        <f>IFERROR(VLOOKUP(G364,SKU_Cost_Input!$A$2:$E$16,4,FALSE),0)</f>
        <v/>
      </c>
      <c r="J364" s="14">
        <f>IFERROR(VLOOKUP(G364,SKU_Cost_Input!$A$2:$E$16,2,FALSE),0)</f>
        <v/>
      </c>
      <c r="K364" s="18">
        <f>IF(J364=0,0,I364/J364)</f>
        <v/>
      </c>
      <c r="L364" s="18">
        <f>K364</f>
        <v/>
      </c>
      <c r="M364" s="14" t="inlineStr">
        <is>
          <t>Exact company email match</t>
        </is>
      </c>
      <c r="N364" s="14" t="inlineStr"/>
    </row>
    <row r="365">
      <c r="A365" s="14" t="inlineStr">
        <is>
          <t>sergent@WearCheckRS.com</t>
        </is>
      </c>
      <c r="B365" s="14" t="inlineStr">
        <is>
          <t>Sergent Thlou</t>
        </is>
      </c>
      <c r="C365" s="14" t="inlineStr">
        <is>
          <t>RS</t>
        </is>
      </c>
      <c r="D365" s="14" t="inlineStr">
        <is>
          <t>WC264</t>
        </is>
      </c>
      <c r="E365" s="14" t="inlineStr">
        <is>
          <t>Matched</t>
        </is>
      </c>
      <c r="F365" s="14" t="inlineStr">
        <is>
          <t>No</t>
        </is>
      </c>
      <c r="G365" s="14" t="inlineStr">
        <is>
          <t>Microsoft 365 Business Standard</t>
        </is>
      </c>
      <c r="H365" s="14" t="inlineStr">
        <is>
          <t>Likely billable</t>
        </is>
      </c>
      <c r="I365" s="18">
        <f>IFERROR(VLOOKUP(G365,SKU_Cost_Input!$A$2:$E$16,4,FALSE),0)</f>
        <v/>
      </c>
      <c r="J365" s="14">
        <f>IFERROR(VLOOKUP(G365,SKU_Cost_Input!$A$2:$E$16,2,FALSE),0)</f>
        <v/>
      </c>
      <c r="K365" s="18">
        <f>IF(J365=0,0,I365/J365)</f>
        <v/>
      </c>
      <c r="L365" s="18">
        <f>K365</f>
        <v/>
      </c>
      <c r="M365" s="14" t="inlineStr">
        <is>
          <t>Exact company email match</t>
        </is>
      </c>
      <c r="N365" s="14" t="inlineStr">
        <is>
          <t>Review: Business Standard — consider Business Basic if sufficient</t>
        </is>
      </c>
    </row>
    <row r="366">
      <c r="A366" s="14" t="inlineStr">
        <is>
          <t>srv_acc_sql_mail@WearCheckRS.com</t>
        </is>
      </c>
      <c r="B366" s="14" t="inlineStr">
        <is>
          <t>Service Account SQL DB Mail</t>
        </is>
      </c>
      <c r="C366" s="14" t="inlineStr">
        <is>
          <t>RS</t>
        </is>
      </c>
      <c r="D366" s="14" t="n"/>
      <c r="E366" s="14" t="inlineStr">
        <is>
          <t>Mapped by rule</t>
        </is>
      </c>
      <c r="F366" s="14" t="inlineStr">
        <is>
          <t>No</t>
        </is>
      </c>
      <c r="G366" s="14" t="inlineStr">
        <is>
          <t>Exchange Online (Plan 1)</t>
        </is>
      </c>
      <c r="H366" s="14" t="inlineStr">
        <is>
          <t>Likely billable</t>
        </is>
      </c>
      <c r="I366" s="18">
        <f>IFERROR(VLOOKUP(G366,SKU_Cost_Input!$A$2:$E$16,4,FALSE),0)</f>
        <v/>
      </c>
      <c r="J366" s="14">
        <f>IFERROR(VLOOKUP(G366,SKU_Cost_Input!$A$2:$E$16,2,FALSE),0)</f>
        <v/>
      </c>
      <c r="K366" s="18">
        <f>IF(J366=0,0,I366/J366)</f>
        <v/>
      </c>
      <c r="L366" s="18">
        <f>K366</f>
        <v/>
      </c>
      <c r="M366" s="14" t="inlineStr">
        <is>
          <t>Generic/shared/service account defaulted to RS per instruction</t>
        </is>
      </c>
      <c r="N366" s="14" t="inlineStr"/>
    </row>
    <row r="367">
      <c r="A367" s="14" t="inlineStr">
        <is>
          <t>srv_acc_ssrs@WearCheckRS.com</t>
        </is>
      </c>
      <c r="B367" s="14" t="inlineStr">
        <is>
          <t>Service Account SSRS</t>
        </is>
      </c>
      <c r="C367" s="14" t="inlineStr">
        <is>
          <t>RS</t>
        </is>
      </c>
      <c r="D367" s="14" t="n"/>
      <c r="E367" s="14" t="inlineStr">
        <is>
          <t>Mapped by rule</t>
        </is>
      </c>
      <c r="F367" s="14" t="inlineStr">
        <is>
          <t>No</t>
        </is>
      </c>
      <c r="G367" s="14" t="inlineStr">
        <is>
          <t>Power Automate per user plan</t>
        </is>
      </c>
      <c r="H367" s="14" t="inlineStr">
        <is>
          <t>Likely billable</t>
        </is>
      </c>
      <c r="I367" s="18">
        <f>IFERROR(VLOOKUP(G367,SKU_Cost_Input!$A$2:$E$16,4,FALSE),0)</f>
        <v/>
      </c>
      <c r="J367" s="14">
        <f>IFERROR(VLOOKUP(G367,SKU_Cost_Input!$A$2:$E$16,2,FALSE),0)</f>
        <v/>
      </c>
      <c r="K367" s="18">
        <f>IF(J367=0,0,I367/J367)</f>
        <v/>
      </c>
      <c r="L367" s="18">
        <f>K367</f>
        <v/>
      </c>
      <c r="M367" s="14" t="inlineStr">
        <is>
          <t>Generic/shared/service account defaulted to RS per instruction</t>
        </is>
      </c>
      <c r="N367" s="14" t="inlineStr"/>
    </row>
    <row r="368">
      <c r="A368" s="14" t="inlineStr">
        <is>
          <t>srv_acc_ssrs@WearCheckRS.com</t>
        </is>
      </c>
      <c r="B368" s="14" t="inlineStr">
        <is>
          <t>Service Account SSRS</t>
        </is>
      </c>
      <c r="C368" s="14" t="inlineStr">
        <is>
          <t>RS</t>
        </is>
      </c>
      <c r="D368" s="14" t="n"/>
      <c r="E368" s="14" t="inlineStr">
        <is>
          <t>Mapped by rule</t>
        </is>
      </c>
      <c r="F368" s="14" t="inlineStr">
        <is>
          <t>No</t>
        </is>
      </c>
      <c r="G368" s="14" t="inlineStr">
        <is>
          <t>Microsoft Power Automate Free</t>
        </is>
      </c>
      <c r="H368" s="14" t="inlineStr">
        <is>
          <t>Likely free / trial</t>
        </is>
      </c>
      <c r="I368" s="18">
        <f>IFERROR(VLOOKUP(G368,SKU_Cost_Input!$A$2:$E$16,4,FALSE),0)</f>
        <v/>
      </c>
      <c r="J368" s="14">
        <f>IFERROR(VLOOKUP(G368,SKU_Cost_Input!$A$2:$E$16,2,FALSE),0)</f>
        <v/>
      </c>
      <c r="K368" s="18">
        <f>IF(J368=0,0,I368/J368)</f>
        <v/>
      </c>
      <c r="L368" s="18">
        <f>K368</f>
        <v/>
      </c>
      <c r="M368" s="14" t="inlineStr">
        <is>
          <t>Generic/shared/service account defaulted to RS per instruction</t>
        </is>
      </c>
      <c r="N368" s="14" t="inlineStr"/>
    </row>
    <row r="369">
      <c r="A369" s="14" t="inlineStr">
        <is>
          <t>shaun@WearCheckRS.com</t>
        </is>
      </c>
      <c r="B369" s="14" t="inlineStr">
        <is>
          <t>Shaun Janse van Rensburg</t>
        </is>
      </c>
      <c r="C369" s="14" t="inlineStr">
        <is>
          <t>RS</t>
        </is>
      </c>
      <c r="D369" s="14" t="inlineStr">
        <is>
          <t>WEC136</t>
        </is>
      </c>
      <c r="E369" s="14" t="inlineStr">
        <is>
          <t>Matched</t>
        </is>
      </c>
      <c r="F369" s="14" t="inlineStr">
        <is>
          <t>No</t>
        </is>
      </c>
      <c r="G369" s="14" t="inlineStr">
        <is>
          <t>Microsoft Defender for Office 365 (Plan 2)</t>
        </is>
      </c>
      <c r="H369" s="14" t="inlineStr">
        <is>
          <t>Likely billable</t>
        </is>
      </c>
      <c r="I369" s="18">
        <f>IFERROR(VLOOKUP(G369,SKU_Cost_Input!$A$2:$E$16,4,FALSE),0)</f>
        <v/>
      </c>
      <c r="J369" s="14">
        <f>IFERROR(VLOOKUP(G369,SKU_Cost_Input!$A$2:$E$16,2,FALSE),0)</f>
        <v/>
      </c>
      <c r="K369" s="18">
        <f>IF(J369=0,0,I369/J369)</f>
        <v/>
      </c>
      <c r="L369" s="18">
        <f>K369</f>
        <v/>
      </c>
      <c r="M369" s="14" t="inlineStr">
        <is>
          <t>Exact company email match</t>
        </is>
      </c>
      <c r="N369" s="14" t="inlineStr"/>
    </row>
    <row r="370">
      <c r="A370" s="14" t="inlineStr">
        <is>
          <t>shaun@WearCheckRS.com</t>
        </is>
      </c>
      <c r="B370" s="14" t="inlineStr">
        <is>
          <t>Shaun Janse van Rensburg</t>
        </is>
      </c>
      <c r="C370" s="14" t="inlineStr">
        <is>
          <t>RS</t>
        </is>
      </c>
      <c r="D370" s="14" t="inlineStr">
        <is>
          <t>WEC136</t>
        </is>
      </c>
      <c r="E370" s="14" t="inlineStr">
        <is>
          <t>Matched</t>
        </is>
      </c>
      <c r="F370" s="14" t="inlineStr">
        <is>
          <t>No</t>
        </is>
      </c>
      <c r="G370" s="14" t="inlineStr">
        <is>
          <t>Microsoft 365 Business Standard</t>
        </is>
      </c>
      <c r="H370" s="14" t="inlineStr">
        <is>
          <t>Likely billable</t>
        </is>
      </c>
      <c r="I370" s="18">
        <f>IFERROR(VLOOKUP(G370,SKU_Cost_Input!$A$2:$E$16,4,FALSE),0)</f>
        <v/>
      </c>
      <c r="J370" s="14">
        <f>IFERROR(VLOOKUP(G370,SKU_Cost_Input!$A$2:$E$16,2,FALSE),0)</f>
        <v/>
      </c>
      <c r="K370" s="18">
        <f>IF(J370=0,0,I370/J370)</f>
        <v/>
      </c>
      <c r="L370" s="18">
        <f>K370</f>
        <v/>
      </c>
      <c r="M370" s="14" t="inlineStr">
        <is>
          <t>Exact company email match</t>
        </is>
      </c>
      <c r="N370" s="14" t="inlineStr">
        <is>
          <t>Review: Business Standard — consider Business Basic if sufficient</t>
        </is>
      </c>
    </row>
    <row r="371">
      <c r="A371" s="14" t="inlineStr">
        <is>
          <t>Shivon@WearCheckRS.com</t>
        </is>
      </c>
      <c r="B371" s="14" t="inlineStr">
        <is>
          <t>Shivon Alberts</t>
        </is>
      </c>
      <c r="C371" s="14" t="inlineStr">
        <is>
          <t>RS</t>
        </is>
      </c>
      <c r="D371" s="14" t="inlineStr">
        <is>
          <t>WEC130</t>
        </is>
      </c>
      <c r="E371" s="14" t="inlineStr">
        <is>
          <t>Matched</t>
        </is>
      </c>
      <c r="F371" s="14" t="inlineStr">
        <is>
          <t>No</t>
        </is>
      </c>
      <c r="G371" s="14" t="inlineStr">
        <is>
          <t>Microsoft 365 Business Premium</t>
        </is>
      </c>
      <c r="H371" s="14" t="inlineStr">
        <is>
          <t>Likely billable</t>
        </is>
      </c>
      <c r="I371" s="18">
        <f>IFERROR(VLOOKUP(G371,SKU_Cost_Input!$A$2:$E$16,4,FALSE),0)</f>
        <v/>
      </c>
      <c r="J371" s="14">
        <f>IFERROR(VLOOKUP(G371,SKU_Cost_Input!$A$2:$E$16,2,FALSE),0)</f>
        <v/>
      </c>
      <c r="K371" s="18">
        <f>IF(J371=0,0,I371/J371)</f>
        <v/>
      </c>
      <c r="L371" s="18">
        <f>K371</f>
        <v/>
      </c>
      <c r="M371" s="14" t="inlineStr">
        <is>
          <t>Exact company email match</t>
        </is>
      </c>
      <c r="N371" s="14" t="inlineStr">
        <is>
          <t>Review: Business Premium — consider Business Basic/Standard</t>
        </is>
      </c>
    </row>
    <row r="372">
      <c r="A372" s="14" t="inlineStr">
        <is>
          <t>Shivon@WearCheckRS.com</t>
        </is>
      </c>
      <c r="B372" s="14" t="inlineStr">
        <is>
          <t>Shivon Alberts</t>
        </is>
      </c>
      <c r="C372" s="14" t="inlineStr">
        <is>
          <t>RS</t>
        </is>
      </c>
      <c r="D372" s="14" t="inlineStr">
        <is>
          <t>WEC130</t>
        </is>
      </c>
      <c r="E372" s="14" t="inlineStr">
        <is>
          <t>Matched</t>
        </is>
      </c>
      <c r="F372" s="14" t="inlineStr">
        <is>
          <t>No</t>
        </is>
      </c>
      <c r="G372" s="14" t="inlineStr">
        <is>
          <t>Microsoft Defender for Office 365 (Plan 2)</t>
        </is>
      </c>
      <c r="H372" s="14" t="inlineStr">
        <is>
          <t>Likely billable</t>
        </is>
      </c>
      <c r="I372" s="18">
        <f>IFERROR(VLOOKUP(G372,SKU_Cost_Input!$A$2:$E$16,4,FALSE),0)</f>
        <v/>
      </c>
      <c r="J372" s="14">
        <f>IFERROR(VLOOKUP(G372,SKU_Cost_Input!$A$2:$E$16,2,FALSE),0)</f>
        <v/>
      </c>
      <c r="K372" s="18">
        <f>IF(J372=0,0,I372/J372)</f>
        <v/>
      </c>
      <c r="L372" s="18">
        <f>K372</f>
        <v/>
      </c>
      <c r="M372" s="14" t="inlineStr">
        <is>
          <t>Exact company email match</t>
        </is>
      </c>
      <c r="N372" s="14" t="inlineStr"/>
    </row>
    <row r="373">
      <c r="A373" s="14" t="inlineStr">
        <is>
          <t>Shivon@WearCheckRS.com</t>
        </is>
      </c>
      <c r="B373" s="14" t="inlineStr">
        <is>
          <t>Shivon Alberts</t>
        </is>
      </c>
      <c r="C373" s="14" t="inlineStr">
        <is>
          <t>RS</t>
        </is>
      </c>
      <c r="D373" s="14" t="inlineStr">
        <is>
          <t>WEC130</t>
        </is>
      </c>
      <c r="E373" s="14" t="inlineStr">
        <is>
          <t>Matched</t>
        </is>
      </c>
      <c r="F373" s="14" t="inlineStr">
        <is>
          <t>No</t>
        </is>
      </c>
      <c r="G373" s="14" t="inlineStr">
        <is>
          <t>Microsoft Fabric (Free)</t>
        </is>
      </c>
      <c r="H373" s="14" t="inlineStr">
        <is>
          <t>Likely free / trial</t>
        </is>
      </c>
      <c r="I373" s="18">
        <f>IFERROR(VLOOKUP(G373,SKU_Cost_Input!$A$2:$E$16,4,FALSE),0)</f>
        <v/>
      </c>
      <c r="J373" s="14">
        <f>IFERROR(VLOOKUP(G373,SKU_Cost_Input!$A$2:$E$16,2,FALSE),0)</f>
        <v/>
      </c>
      <c r="K373" s="18">
        <f>IF(J373=0,0,I373/J373)</f>
        <v/>
      </c>
      <c r="L373" s="18">
        <f>K373</f>
        <v/>
      </c>
      <c r="M373" s="14" t="inlineStr">
        <is>
          <t>Exact company email match</t>
        </is>
      </c>
      <c r="N373" s="14" t="inlineStr"/>
    </row>
    <row r="374">
      <c r="A374" s="14" t="inlineStr">
        <is>
          <t>simondifutso@WearCheckRS.com</t>
        </is>
      </c>
      <c r="B374" s="14" t="inlineStr">
        <is>
          <t>Simon Difutso</t>
        </is>
      </c>
      <c r="C374" s="14" t="inlineStr">
        <is>
          <t>AFS</t>
        </is>
      </c>
      <c r="D374" s="14" t="inlineStr">
        <is>
          <t>WC485</t>
        </is>
      </c>
      <c r="E374" s="14" t="inlineStr">
        <is>
          <t>Matched</t>
        </is>
      </c>
      <c r="F374" s="14" t="inlineStr">
        <is>
          <t>No</t>
        </is>
      </c>
      <c r="G374" s="14" t="inlineStr">
        <is>
          <t>Microsoft Defender for Office 365 (Plan 2)</t>
        </is>
      </c>
      <c r="H374" s="14" t="inlineStr">
        <is>
          <t>Likely billable</t>
        </is>
      </c>
      <c r="I374" s="18">
        <f>IFERROR(VLOOKUP(G374,SKU_Cost_Input!$A$2:$E$16,4,FALSE),0)</f>
        <v/>
      </c>
      <c r="J374" s="14">
        <f>IFERROR(VLOOKUP(G374,SKU_Cost_Input!$A$2:$E$16,2,FALSE),0)</f>
        <v/>
      </c>
      <c r="K374" s="18">
        <f>IF(J374=0,0,I374/J374)</f>
        <v/>
      </c>
      <c r="L374" s="18">
        <f>K374</f>
        <v/>
      </c>
      <c r="M374" s="14" t="inlineStr">
        <is>
          <t>Exact company email match</t>
        </is>
      </c>
      <c r="N374" s="14" t="inlineStr"/>
    </row>
    <row r="375">
      <c r="A375" s="14" t="inlineStr">
        <is>
          <t>simondifutso@WearCheckRS.com</t>
        </is>
      </c>
      <c r="B375" s="14" t="inlineStr">
        <is>
          <t>Simon Difutso</t>
        </is>
      </c>
      <c r="C375" s="14" t="inlineStr">
        <is>
          <t>AFS</t>
        </is>
      </c>
      <c r="D375" s="14" t="inlineStr">
        <is>
          <t>WC485</t>
        </is>
      </c>
      <c r="E375" s="14" t="inlineStr">
        <is>
          <t>Matched</t>
        </is>
      </c>
      <c r="F375" s="14" t="inlineStr">
        <is>
          <t>No</t>
        </is>
      </c>
      <c r="G375" s="14" t="inlineStr">
        <is>
          <t>Microsoft 365 Business Standard</t>
        </is>
      </c>
      <c r="H375" s="14" t="inlineStr">
        <is>
          <t>Likely billable</t>
        </is>
      </c>
      <c r="I375" s="18">
        <f>IFERROR(VLOOKUP(G375,SKU_Cost_Input!$A$2:$E$16,4,FALSE),0)</f>
        <v/>
      </c>
      <c r="J375" s="14">
        <f>IFERROR(VLOOKUP(G375,SKU_Cost_Input!$A$2:$E$16,2,FALSE),0)</f>
        <v/>
      </c>
      <c r="K375" s="18">
        <f>IF(J375=0,0,I375/J375)</f>
        <v/>
      </c>
      <c r="L375" s="18">
        <f>K375</f>
        <v/>
      </c>
      <c r="M375" s="14" t="inlineStr">
        <is>
          <t>Exact company email match</t>
        </is>
      </c>
      <c r="N375" s="14" t="inlineStr">
        <is>
          <t>Review: Business Standard — consider Business Basic if sufficient</t>
        </is>
      </c>
    </row>
    <row r="376">
      <c r="A376" s="14" t="inlineStr">
        <is>
          <t>Simon@WearCheckRS.com</t>
        </is>
      </c>
      <c r="B376" s="14" t="inlineStr">
        <is>
          <t>Simon Mosima</t>
        </is>
      </c>
      <c r="C376" s="14" t="inlineStr">
        <is>
          <t>RS</t>
        </is>
      </c>
      <c r="D376" s="14" t="inlineStr">
        <is>
          <t>WC283</t>
        </is>
      </c>
      <c r="E376" s="14" t="inlineStr">
        <is>
          <t>Matched</t>
        </is>
      </c>
      <c r="F376" s="14" t="inlineStr">
        <is>
          <t>No</t>
        </is>
      </c>
      <c r="G376" s="14" t="inlineStr">
        <is>
          <t>Microsoft Defender for Office 365 (Plan 2)</t>
        </is>
      </c>
      <c r="H376" s="14" t="inlineStr">
        <is>
          <t>Likely billable</t>
        </is>
      </c>
      <c r="I376" s="18">
        <f>IFERROR(VLOOKUP(G376,SKU_Cost_Input!$A$2:$E$16,4,FALSE),0)</f>
        <v/>
      </c>
      <c r="J376" s="14">
        <f>IFERROR(VLOOKUP(G376,SKU_Cost_Input!$A$2:$E$16,2,FALSE),0)</f>
        <v/>
      </c>
      <c r="K376" s="18">
        <f>IF(J376=0,0,I376/J376)</f>
        <v/>
      </c>
      <c r="L376" s="18">
        <f>K376</f>
        <v/>
      </c>
      <c r="M376" s="14" t="inlineStr">
        <is>
          <t>Exact company email match</t>
        </is>
      </c>
      <c r="N376" s="14" t="inlineStr"/>
    </row>
    <row r="377">
      <c r="A377" s="14" t="inlineStr">
        <is>
          <t>Simon@WearCheckRS.com</t>
        </is>
      </c>
      <c r="B377" s="14" t="inlineStr">
        <is>
          <t>Simon Mosima</t>
        </is>
      </c>
      <c r="C377" s="14" t="inlineStr">
        <is>
          <t>RS</t>
        </is>
      </c>
      <c r="D377" s="14" t="inlineStr">
        <is>
          <t>WC283</t>
        </is>
      </c>
      <c r="E377" s="14" t="inlineStr">
        <is>
          <t>Matched</t>
        </is>
      </c>
      <c r="F377" s="14" t="inlineStr">
        <is>
          <t>No</t>
        </is>
      </c>
      <c r="G377" s="14" t="inlineStr">
        <is>
          <t>Microsoft 365 Business Standard</t>
        </is>
      </c>
      <c r="H377" s="14" t="inlineStr">
        <is>
          <t>Likely billable</t>
        </is>
      </c>
      <c r="I377" s="18">
        <f>IFERROR(VLOOKUP(G377,SKU_Cost_Input!$A$2:$E$16,4,FALSE),0)</f>
        <v/>
      </c>
      <c r="J377" s="14">
        <f>IFERROR(VLOOKUP(G377,SKU_Cost_Input!$A$2:$E$16,2,FALSE),0)</f>
        <v/>
      </c>
      <c r="K377" s="18">
        <f>IF(J377=0,0,I377/J377)</f>
        <v/>
      </c>
      <c r="L377" s="18">
        <f>K377</f>
        <v/>
      </c>
      <c r="M377" s="14" t="inlineStr">
        <is>
          <t>Exact company email match</t>
        </is>
      </c>
      <c r="N377" s="14" t="inlineStr">
        <is>
          <t>Review: Business Standard — consider Business Basic if sufficient</t>
        </is>
      </c>
    </row>
    <row r="378">
      <c r="A378" s="14" t="inlineStr">
        <is>
          <t>siphom@WearCheckRS.com</t>
        </is>
      </c>
      <c r="B378" s="14" t="inlineStr">
        <is>
          <t>Sipho Mathibela</t>
        </is>
      </c>
      <c r="C378" s="14" t="inlineStr">
        <is>
          <t>RS</t>
        </is>
      </c>
      <c r="D378" s="14" t="inlineStr">
        <is>
          <t>WEC039</t>
        </is>
      </c>
      <c r="E378" s="14" t="inlineStr">
        <is>
          <t>Matched</t>
        </is>
      </c>
      <c r="F378" s="14" t="inlineStr">
        <is>
          <t>No</t>
        </is>
      </c>
      <c r="G378" s="14" t="inlineStr">
        <is>
          <t>Microsoft Defender for Office 365 (Plan 2)</t>
        </is>
      </c>
      <c r="H378" s="14" t="inlineStr">
        <is>
          <t>Likely billable</t>
        </is>
      </c>
      <c r="I378" s="18">
        <f>IFERROR(VLOOKUP(G378,SKU_Cost_Input!$A$2:$E$16,4,FALSE),0)</f>
        <v/>
      </c>
      <c r="J378" s="14">
        <f>IFERROR(VLOOKUP(G378,SKU_Cost_Input!$A$2:$E$16,2,FALSE),0)</f>
        <v/>
      </c>
      <c r="K378" s="18">
        <f>IF(J378=0,0,I378/J378)</f>
        <v/>
      </c>
      <c r="L378" s="18">
        <f>K378</f>
        <v/>
      </c>
      <c r="M378" s="14" t="inlineStr">
        <is>
          <t>Exact company email match</t>
        </is>
      </c>
      <c r="N378" s="14" t="inlineStr"/>
    </row>
    <row r="379">
      <c r="A379" s="14" t="inlineStr">
        <is>
          <t>siphom@WearCheckRS.com</t>
        </is>
      </c>
      <c r="B379" s="14" t="inlineStr">
        <is>
          <t>Sipho Mathibela</t>
        </is>
      </c>
      <c r="C379" s="14" t="inlineStr">
        <is>
          <t>RS</t>
        </is>
      </c>
      <c r="D379" s="14" t="inlineStr">
        <is>
          <t>WEC039</t>
        </is>
      </c>
      <c r="E379" s="14" t="inlineStr">
        <is>
          <t>Matched</t>
        </is>
      </c>
      <c r="F379" s="14" t="inlineStr">
        <is>
          <t>No</t>
        </is>
      </c>
      <c r="G379" s="14" t="inlineStr">
        <is>
          <t>Microsoft 365 Business Standard</t>
        </is>
      </c>
      <c r="H379" s="14" t="inlineStr">
        <is>
          <t>Likely billable</t>
        </is>
      </c>
      <c r="I379" s="18">
        <f>IFERROR(VLOOKUP(G379,SKU_Cost_Input!$A$2:$E$16,4,FALSE),0)</f>
        <v/>
      </c>
      <c r="J379" s="14">
        <f>IFERROR(VLOOKUP(G379,SKU_Cost_Input!$A$2:$E$16,2,FALSE),0)</f>
        <v/>
      </c>
      <c r="K379" s="18">
        <f>IF(J379=0,0,I379/J379)</f>
        <v/>
      </c>
      <c r="L379" s="18">
        <f>K379</f>
        <v/>
      </c>
      <c r="M379" s="14" t="inlineStr">
        <is>
          <t>Exact company email match</t>
        </is>
      </c>
      <c r="N379" s="14" t="inlineStr">
        <is>
          <t>Review: Business Standard — consider Business Basic if sufficient</t>
        </is>
      </c>
    </row>
    <row r="380">
      <c r="A380" s="14" t="inlineStr">
        <is>
          <t>siphoz@WearCheckRS.com</t>
        </is>
      </c>
      <c r="B380" s="14" t="inlineStr">
        <is>
          <t>Sipho Zwane</t>
        </is>
      </c>
      <c r="C380" s="14" t="inlineStr">
        <is>
          <t>RS</t>
        </is>
      </c>
      <c r="D380" s="14" t="inlineStr">
        <is>
          <t>WC360</t>
        </is>
      </c>
      <c r="E380" s="14" t="inlineStr">
        <is>
          <t>Matched</t>
        </is>
      </c>
      <c r="F380" s="14" t="inlineStr">
        <is>
          <t>No</t>
        </is>
      </c>
      <c r="G380" s="14" t="inlineStr">
        <is>
          <t>Microsoft Defender for Office 365 (Plan 2)</t>
        </is>
      </c>
      <c r="H380" s="14" t="inlineStr">
        <is>
          <t>Likely billable</t>
        </is>
      </c>
      <c r="I380" s="18">
        <f>IFERROR(VLOOKUP(G380,SKU_Cost_Input!$A$2:$E$16,4,FALSE),0)</f>
        <v/>
      </c>
      <c r="J380" s="14">
        <f>IFERROR(VLOOKUP(G380,SKU_Cost_Input!$A$2:$E$16,2,FALSE),0)</f>
        <v/>
      </c>
      <c r="K380" s="18">
        <f>IF(J380=0,0,I380/J380)</f>
        <v/>
      </c>
      <c r="L380" s="18">
        <f>K380</f>
        <v/>
      </c>
      <c r="M380" s="14" t="inlineStr">
        <is>
          <t>Exact company email match</t>
        </is>
      </c>
      <c r="N380" s="14" t="inlineStr"/>
    </row>
    <row r="381">
      <c r="A381" s="14" t="inlineStr">
        <is>
          <t>siphoz@WearCheckRS.com</t>
        </is>
      </c>
      <c r="B381" s="14" t="inlineStr">
        <is>
          <t>Sipho Zwane</t>
        </is>
      </c>
      <c r="C381" s="14" t="inlineStr">
        <is>
          <t>RS</t>
        </is>
      </c>
      <c r="D381" s="14" t="inlineStr">
        <is>
          <t>WC360</t>
        </is>
      </c>
      <c r="E381" s="14" t="inlineStr">
        <is>
          <t>Matched</t>
        </is>
      </c>
      <c r="F381" s="14" t="inlineStr">
        <is>
          <t>No</t>
        </is>
      </c>
      <c r="G381" s="14" t="inlineStr">
        <is>
          <t>Microsoft 365 Business Standard</t>
        </is>
      </c>
      <c r="H381" s="14" t="inlineStr">
        <is>
          <t>Likely billable</t>
        </is>
      </c>
      <c r="I381" s="18">
        <f>IFERROR(VLOOKUP(G381,SKU_Cost_Input!$A$2:$E$16,4,FALSE),0)</f>
        <v/>
      </c>
      <c r="J381" s="14">
        <f>IFERROR(VLOOKUP(G381,SKU_Cost_Input!$A$2:$E$16,2,FALSE),0)</f>
        <v/>
      </c>
      <c r="K381" s="18">
        <f>IF(J381=0,0,I381/J381)</f>
        <v/>
      </c>
      <c r="L381" s="18">
        <f>K381</f>
        <v/>
      </c>
      <c r="M381" s="14" t="inlineStr">
        <is>
          <t>Exact company email match</t>
        </is>
      </c>
      <c r="N381" s="14" t="inlineStr">
        <is>
          <t>Review: Business Standard — consider Business Basic if sufficient</t>
        </is>
      </c>
    </row>
    <row r="382">
      <c r="A382" s="14" t="inlineStr">
        <is>
          <t>stephanied@wearcheckrs.com</t>
        </is>
      </c>
      <c r="B382" s="14" t="inlineStr">
        <is>
          <t>Stephanie Du Plessis</t>
        </is>
      </c>
      <c r="C382" s="14" t="inlineStr">
        <is>
          <t>RS</t>
        </is>
      </c>
      <c r="D382" s="14" t="inlineStr"/>
      <c r="E382" s="14" t="inlineStr">
        <is>
          <t>Confirmed</t>
        </is>
      </c>
      <c r="F382" s="14" t="inlineStr">
        <is>
          <t>No</t>
        </is>
      </c>
      <c r="G382" s="14" t="inlineStr">
        <is>
          <t>Microsoft 365 Business Standard</t>
        </is>
      </c>
      <c r="H382" s="14" t="inlineStr">
        <is>
          <t>Likely billable</t>
        </is>
      </c>
      <c r="I382" s="18">
        <f>IFERROR(VLOOKUP(G382,SKU_Cost_Input!$A$2:$E$16,4,FALSE),0)</f>
        <v/>
      </c>
      <c r="J382" s="14">
        <f>IFERROR(VLOOKUP(G382,SKU_Cost_Input!$A$2:$E$16,2,FALSE),0)</f>
        <v/>
      </c>
      <c r="K382" s="18">
        <f>IF(J382=0,0,I382/J382)</f>
        <v/>
      </c>
      <c r="L382" s="18">
        <f>K382</f>
        <v/>
      </c>
      <c r="M382" s="14" t="inlineStr">
        <is>
          <t>Missed on employee list — now added (reviewed)</t>
        </is>
      </c>
      <c r="N382" s="14" t="inlineStr">
        <is>
          <t>Review: Business Standard — consider Business Basic if sufficient</t>
        </is>
      </c>
    </row>
    <row r="383">
      <c r="A383" s="14" t="inlineStr">
        <is>
          <t>stephanied@wearcheckrs.com</t>
        </is>
      </c>
      <c r="B383" s="14" t="inlineStr">
        <is>
          <t>Stephanie Du Plessis</t>
        </is>
      </c>
      <c r="C383" s="14" t="inlineStr">
        <is>
          <t>RS</t>
        </is>
      </c>
      <c r="D383" s="14" t="inlineStr"/>
      <c r="E383" s="14" t="inlineStr">
        <is>
          <t>Confirmed</t>
        </is>
      </c>
      <c r="F383" s="14" t="inlineStr">
        <is>
          <t>No</t>
        </is>
      </c>
      <c r="G383" s="14" t="inlineStr">
        <is>
          <t>Microsoft Defender for Office 365 (Plan 2)</t>
        </is>
      </c>
      <c r="H383" s="14" t="inlineStr">
        <is>
          <t>Likely billable</t>
        </is>
      </c>
      <c r="I383" s="18">
        <f>IFERROR(VLOOKUP(G383,SKU_Cost_Input!$A$2:$E$16,4,FALSE),0)</f>
        <v/>
      </c>
      <c r="J383" s="14">
        <f>IFERROR(VLOOKUP(G383,SKU_Cost_Input!$A$2:$E$16,2,FALSE),0)</f>
        <v/>
      </c>
      <c r="K383" s="18">
        <f>IF(J383=0,0,I383/J383)</f>
        <v/>
      </c>
      <c r="L383" s="18">
        <f>K383</f>
        <v/>
      </c>
      <c r="M383" s="14" t="inlineStr">
        <is>
          <t>Missed on employee list — now added (reviewed)</t>
        </is>
      </c>
      <c r="N383" s="14" t="inlineStr"/>
    </row>
    <row r="384">
      <c r="A384" s="14" t="inlineStr">
        <is>
          <t>teresa.venter@WearCheckRS.com</t>
        </is>
      </c>
      <c r="B384" s="14" t="inlineStr">
        <is>
          <t>Teresa Venter</t>
        </is>
      </c>
      <c r="C384" s="14" t="inlineStr">
        <is>
          <t>AFS</t>
        </is>
      </c>
      <c r="D384" s="14" t="inlineStr">
        <is>
          <t>WC487</t>
        </is>
      </c>
      <c r="E384" s="14" t="inlineStr">
        <is>
          <t>Matched</t>
        </is>
      </c>
      <c r="F384" s="14" t="inlineStr">
        <is>
          <t>No</t>
        </is>
      </c>
      <c r="G384" s="14" t="inlineStr">
        <is>
          <t>Microsoft Defender for Office 365 (Plan 2)</t>
        </is>
      </c>
      <c r="H384" s="14" t="inlineStr">
        <is>
          <t>Likely billable</t>
        </is>
      </c>
      <c r="I384" s="18">
        <f>IFERROR(VLOOKUP(G384,SKU_Cost_Input!$A$2:$E$16,4,FALSE),0)</f>
        <v/>
      </c>
      <c r="J384" s="14">
        <f>IFERROR(VLOOKUP(G384,SKU_Cost_Input!$A$2:$E$16,2,FALSE),0)</f>
        <v/>
      </c>
      <c r="K384" s="18">
        <f>IF(J384=0,0,I384/J384)</f>
        <v/>
      </c>
      <c r="L384" s="18">
        <f>K384</f>
        <v/>
      </c>
      <c r="M384" s="14" t="inlineStr">
        <is>
          <t>Exact company email match</t>
        </is>
      </c>
      <c r="N384" s="14" t="inlineStr"/>
    </row>
    <row r="385">
      <c r="A385" s="14" t="inlineStr">
        <is>
          <t>teresa.venter@WearCheckRS.com</t>
        </is>
      </c>
      <c r="B385" s="14" t="inlineStr">
        <is>
          <t>Teresa Venter</t>
        </is>
      </c>
      <c r="C385" s="14" t="inlineStr">
        <is>
          <t>AFS</t>
        </is>
      </c>
      <c r="D385" s="14" t="inlineStr">
        <is>
          <t>WC487</t>
        </is>
      </c>
      <c r="E385" s="14" t="inlineStr">
        <is>
          <t>Matched</t>
        </is>
      </c>
      <c r="F385" s="14" t="inlineStr">
        <is>
          <t>No</t>
        </is>
      </c>
      <c r="G385" s="14" t="inlineStr">
        <is>
          <t>Microsoft Power Automate Free</t>
        </is>
      </c>
      <c r="H385" s="14" t="inlineStr">
        <is>
          <t>Likely free / trial</t>
        </is>
      </c>
      <c r="I385" s="18">
        <f>IFERROR(VLOOKUP(G385,SKU_Cost_Input!$A$2:$E$16,4,FALSE),0)</f>
        <v/>
      </c>
      <c r="J385" s="14">
        <f>IFERROR(VLOOKUP(G385,SKU_Cost_Input!$A$2:$E$16,2,FALSE),0)</f>
        <v/>
      </c>
      <c r="K385" s="18">
        <f>IF(J385=0,0,I385/J385)</f>
        <v/>
      </c>
      <c r="L385" s="18">
        <f>K385</f>
        <v/>
      </c>
      <c r="M385" s="14" t="inlineStr">
        <is>
          <t>Exact company email match</t>
        </is>
      </c>
      <c r="N385" s="14" t="inlineStr"/>
    </row>
    <row r="386">
      <c r="A386" s="14" t="inlineStr">
        <is>
          <t>teresa.venter@WearCheckRS.com</t>
        </is>
      </c>
      <c r="B386" s="14" t="inlineStr">
        <is>
          <t>Teresa Venter</t>
        </is>
      </c>
      <c r="C386" s="14" t="inlineStr">
        <is>
          <t>AFS</t>
        </is>
      </c>
      <c r="D386" s="14" t="inlineStr">
        <is>
          <t>WC487</t>
        </is>
      </c>
      <c r="E386" s="14" t="inlineStr">
        <is>
          <t>Matched</t>
        </is>
      </c>
      <c r="F386" s="14" t="inlineStr">
        <is>
          <t>No</t>
        </is>
      </c>
      <c r="G386" s="14" t="inlineStr">
        <is>
          <t>Microsoft 365 Business Standard</t>
        </is>
      </c>
      <c r="H386" s="14" t="inlineStr">
        <is>
          <t>Likely billable</t>
        </is>
      </c>
      <c r="I386" s="18">
        <f>IFERROR(VLOOKUP(G386,SKU_Cost_Input!$A$2:$E$16,4,FALSE),0)</f>
        <v/>
      </c>
      <c r="J386" s="14">
        <f>IFERROR(VLOOKUP(G386,SKU_Cost_Input!$A$2:$E$16,2,FALSE),0)</f>
        <v/>
      </c>
      <c r="K386" s="18">
        <f>IF(J386=0,0,I386/J386)</f>
        <v/>
      </c>
      <c r="L386" s="18">
        <f>K386</f>
        <v/>
      </c>
      <c r="M386" s="14" t="inlineStr">
        <is>
          <t>Exact company email match</t>
        </is>
      </c>
      <c r="N386" s="14" t="inlineStr">
        <is>
          <t>Review: Business Standard — consider Business Basic if sufficient</t>
        </is>
      </c>
    </row>
    <row r="387">
      <c r="A387" s="14" t="inlineStr">
        <is>
          <t>thabang@WearCheckRS.com</t>
        </is>
      </c>
      <c r="B387" s="14" t="inlineStr">
        <is>
          <t>Thabang Mathumba</t>
        </is>
      </c>
      <c r="C387" s="14" t="inlineStr">
        <is>
          <t>RS</t>
        </is>
      </c>
      <c r="D387" s="14" t="inlineStr"/>
      <c r="E387" s="14" t="inlineStr">
        <is>
          <t>Ex-Employee</t>
        </is>
      </c>
      <c r="F387" s="14" t="inlineStr">
        <is>
          <t>No</t>
        </is>
      </c>
      <c r="G387" s="14" t="inlineStr">
        <is>
          <t>Microsoft Defender for Office 365 (Plan 2)</t>
        </is>
      </c>
      <c r="H387" s="14" t="inlineStr">
        <is>
          <t>Likely billable</t>
        </is>
      </c>
      <c r="I387" s="18">
        <f>IFERROR(VLOOKUP(G387,SKU_Cost_Input!$A$2:$E$16,4,FALSE),0)</f>
        <v/>
      </c>
      <c r="J387" s="14">
        <f>IFERROR(VLOOKUP(G387,SKU_Cost_Input!$A$2:$E$16,2,FALSE),0)</f>
        <v/>
      </c>
      <c r="K387" s="18">
        <f>IF(J387=0,0,I387/J387)</f>
        <v/>
      </c>
      <c r="L387" s="18">
        <f>K387</f>
        <v/>
      </c>
      <c r="M387" s="14" t="inlineStr">
        <is>
          <t>No longer an employee. FLAG: Remove licence.</t>
        </is>
      </c>
      <c r="N387" s="14" t="inlineStr"/>
    </row>
    <row r="388">
      <c r="A388" s="14" t="inlineStr">
        <is>
          <t>thabang@WearCheckRS.com</t>
        </is>
      </c>
      <c r="B388" s="14" t="inlineStr">
        <is>
          <t>Thabang Mathumba</t>
        </is>
      </c>
      <c r="C388" s="14" t="inlineStr">
        <is>
          <t>RS</t>
        </is>
      </c>
      <c r="D388" s="14" t="inlineStr"/>
      <c r="E388" s="14" t="inlineStr">
        <is>
          <t>Ex-Employee</t>
        </is>
      </c>
      <c r="F388" s="14" t="inlineStr">
        <is>
          <t>No</t>
        </is>
      </c>
      <c r="G388" s="14" t="inlineStr">
        <is>
          <t>Microsoft 365 Business Standard</t>
        </is>
      </c>
      <c r="H388" s="14" t="inlineStr">
        <is>
          <t>Likely billable</t>
        </is>
      </c>
      <c r="I388" s="18">
        <f>IFERROR(VLOOKUP(G388,SKU_Cost_Input!$A$2:$E$16,4,FALSE),0)</f>
        <v/>
      </c>
      <c r="J388" s="14">
        <f>IFERROR(VLOOKUP(G388,SKU_Cost_Input!$A$2:$E$16,2,FALSE),0)</f>
        <v/>
      </c>
      <c r="K388" s="18">
        <f>IF(J388=0,0,I388/J388)</f>
        <v/>
      </c>
      <c r="L388" s="18">
        <f>K388</f>
        <v/>
      </c>
      <c r="M388" s="14" t="inlineStr">
        <is>
          <t>No longer an employee. FLAG: Remove licence.</t>
        </is>
      </c>
      <c r="N388" s="14" t="inlineStr">
        <is>
          <t>Review: Business Standard — consider Business Basic if sufficient</t>
        </is>
      </c>
    </row>
    <row r="389">
      <c r="A389" s="14" t="inlineStr">
        <is>
          <t>Thapelo@WearCheckRS.com</t>
        </is>
      </c>
      <c r="B389" s="14" t="inlineStr">
        <is>
          <t>Thapelo Mohlala</t>
        </is>
      </c>
      <c r="C389" s="14" t="inlineStr">
        <is>
          <t>RS</t>
        </is>
      </c>
      <c r="D389" s="14" t="inlineStr">
        <is>
          <t>WEC132</t>
        </is>
      </c>
      <c r="E389" s="14" t="inlineStr">
        <is>
          <t>Matched</t>
        </is>
      </c>
      <c r="F389" s="14" t="inlineStr">
        <is>
          <t>No</t>
        </is>
      </c>
      <c r="G389" s="14" t="inlineStr">
        <is>
          <t>Microsoft Defender for Office 365 (Plan 2)</t>
        </is>
      </c>
      <c r="H389" s="14" t="inlineStr">
        <is>
          <t>Likely billable</t>
        </is>
      </c>
      <c r="I389" s="18">
        <f>IFERROR(VLOOKUP(G389,SKU_Cost_Input!$A$2:$E$16,4,FALSE),0)</f>
        <v/>
      </c>
      <c r="J389" s="14">
        <f>IFERROR(VLOOKUP(G389,SKU_Cost_Input!$A$2:$E$16,2,FALSE),0)</f>
        <v/>
      </c>
      <c r="K389" s="18">
        <f>IF(J389=0,0,I389/J389)</f>
        <v/>
      </c>
      <c r="L389" s="18">
        <f>K389</f>
        <v/>
      </c>
      <c r="M389" s="14" t="inlineStr">
        <is>
          <t>Exact company email match</t>
        </is>
      </c>
      <c r="N389" s="14" t="inlineStr"/>
    </row>
    <row r="390">
      <c r="A390" s="14" t="inlineStr">
        <is>
          <t>Thapelo@WearCheckRS.com</t>
        </is>
      </c>
      <c r="B390" s="14" t="inlineStr">
        <is>
          <t>Thapelo Mohlala</t>
        </is>
      </c>
      <c r="C390" s="14" t="inlineStr">
        <is>
          <t>RS</t>
        </is>
      </c>
      <c r="D390" s="14" t="inlineStr">
        <is>
          <t>WEC132</t>
        </is>
      </c>
      <c r="E390" s="14" t="inlineStr">
        <is>
          <t>Matched</t>
        </is>
      </c>
      <c r="F390" s="14" t="inlineStr">
        <is>
          <t>No</t>
        </is>
      </c>
      <c r="G390" s="14" t="inlineStr">
        <is>
          <t>Microsoft 365 Business Standard</t>
        </is>
      </c>
      <c r="H390" s="14" t="inlineStr">
        <is>
          <t>Likely billable</t>
        </is>
      </c>
      <c r="I390" s="18">
        <f>IFERROR(VLOOKUP(G390,SKU_Cost_Input!$A$2:$E$16,4,FALSE),0)</f>
        <v/>
      </c>
      <c r="J390" s="14">
        <f>IFERROR(VLOOKUP(G390,SKU_Cost_Input!$A$2:$E$16,2,FALSE),0)</f>
        <v/>
      </c>
      <c r="K390" s="18">
        <f>IF(J390=0,0,I390/J390)</f>
        <v/>
      </c>
      <c r="L390" s="18">
        <f>K390</f>
        <v/>
      </c>
      <c r="M390" s="14" t="inlineStr">
        <is>
          <t>Exact company email match</t>
        </is>
      </c>
      <c r="N390" s="14" t="inlineStr">
        <is>
          <t>Review: Business Standard — consider Business Basic if sufficient</t>
        </is>
      </c>
    </row>
    <row r="391">
      <c r="A391" s="14" t="inlineStr">
        <is>
          <t>thomas@WearCheckRS.com</t>
        </is>
      </c>
      <c r="B391" s="14" t="inlineStr">
        <is>
          <t>Thomas Mdhlala</t>
        </is>
      </c>
      <c r="C391" s="14" t="inlineStr">
        <is>
          <t>RS</t>
        </is>
      </c>
      <c r="D391" s="14" t="inlineStr">
        <is>
          <t>WC243</t>
        </is>
      </c>
      <c r="E391" s="14" t="inlineStr">
        <is>
          <t>Matched</t>
        </is>
      </c>
      <c r="F391" s="14" t="inlineStr">
        <is>
          <t>No</t>
        </is>
      </c>
      <c r="G391" s="14" t="inlineStr">
        <is>
          <t>Microsoft Defender for Office 365 (Plan 2)</t>
        </is>
      </c>
      <c r="H391" s="14" t="inlineStr">
        <is>
          <t>Likely billable</t>
        </is>
      </c>
      <c r="I391" s="18">
        <f>IFERROR(VLOOKUP(G391,SKU_Cost_Input!$A$2:$E$16,4,FALSE),0)</f>
        <v/>
      </c>
      <c r="J391" s="14">
        <f>IFERROR(VLOOKUP(G391,SKU_Cost_Input!$A$2:$E$16,2,FALSE),0)</f>
        <v/>
      </c>
      <c r="K391" s="18">
        <f>IF(J391=0,0,I391/J391)</f>
        <v/>
      </c>
      <c r="L391" s="18">
        <f>K391</f>
        <v/>
      </c>
      <c r="M391" s="14" t="inlineStr">
        <is>
          <t>Exact company email match</t>
        </is>
      </c>
      <c r="N391" s="14" t="inlineStr"/>
    </row>
    <row r="392">
      <c r="A392" s="14" t="inlineStr">
        <is>
          <t>thomas@WearCheckRS.com</t>
        </is>
      </c>
      <c r="B392" s="14" t="inlineStr">
        <is>
          <t>Thomas Mdhlala</t>
        </is>
      </c>
      <c r="C392" s="14" t="inlineStr">
        <is>
          <t>RS</t>
        </is>
      </c>
      <c r="D392" s="14" t="inlineStr">
        <is>
          <t>WC243</t>
        </is>
      </c>
      <c r="E392" s="14" t="inlineStr">
        <is>
          <t>Matched</t>
        </is>
      </c>
      <c r="F392" s="14" t="inlineStr">
        <is>
          <t>No</t>
        </is>
      </c>
      <c r="G392" s="14" t="inlineStr">
        <is>
          <t>Microsoft 365 Business Standard</t>
        </is>
      </c>
      <c r="H392" s="14" t="inlineStr">
        <is>
          <t>Likely billable</t>
        </is>
      </c>
      <c r="I392" s="18">
        <f>IFERROR(VLOOKUP(G392,SKU_Cost_Input!$A$2:$E$16,4,FALSE),0)</f>
        <v/>
      </c>
      <c r="J392" s="14">
        <f>IFERROR(VLOOKUP(G392,SKU_Cost_Input!$A$2:$E$16,2,FALSE),0)</f>
        <v/>
      </c>
      <c r="K392" s="18">
        <f>IF(J392=0,0,I392/J392)</f>
        <v/>
      </c>
      <c r="L392" s="18">
        <f>K392</f>
        <v/>
      </c>
      <c r="M392" s="14" t="inlineStr">
        <is>
          <t>Exact company email match</t>
        </is>
      </c>
      <c r="N392" s="14" t="inlineStr">
        <is>
          <t>Review: Business Standard — consider Business Basic if sufficient</t>
        </is>
      </c>
    </row>
    <row r="393">
      <c r="A393" s="14" t="inlineStr">
        <is>
          <t>thulani@WearCheckRS.com</t>
        </is>
      </c>
      <c r="B393" s="14" t="inlineStr">
        <is>
          <t>Thulani Tembe</t>
        </is>
      </c>
      <c r="C393" s="14" t="inlineStr">
        <is>
          <t>RS</t>
        </is>
      </c>
      <c r="D393" s="14" t="inlineStr">
        <is>
          <t>WEC062</t>
        </is>
      </c>
      <c r="E393" s="14" t="inlineStr">
        <is>
          <t>Matched</t>
        </is>
      </c>
      <c r="F393" s="14" t="inlineStr">
        <is>
          <t>No</t>
        </is>
      </c>
      <c r="G393" s="14" t="inlineStr">
        <is>
          <t>Microsoft Defender for Office 365 (Plan 2)</t>
        </is>
      </c>
      <c r="H393" s="14" t="inlineStr">
        <is>
          <t>Likely billable</t>
        </is>
      </c>
      <c r="I393" s="18">
        <f>IFERROR(VLOOKUP(G393,SKU_Cost_Input!$A$2:$E$16,4,FALSE),0)</f>
        <v/>
      </c>
      <c r="J393" s="14">
        <f>IFERROR(VLOOKUP(G393,SKU_Cost_Input!$A$2:$E$16,2,FALSE),0)</f>
        <v/>
      </c>
      <c r="K393" s="18">
        <f>IF(J393=0,0,I393/J393)</f>
        <v/>
      </c>
      <c r="L393" s="18">
        <f>K393</f>
        <v/>
      </c>
      <c r="M393" s="14" t="inlineStr">
        <is>
          <t>Exact company email match</t>
        </is>
      </c>
      <c r="N393" s="14" t="inlineStr"/>
    </row>
    <row r="394">
      <c r="A394" s="14" t="inlineStr">
        <is>
          <t>thulani@WearCheckRS.com</t>
        </is>
      </c>
      <c r="B394" s="14" t="inlineStr">
        <is>
          <t>Thulani Tembe</t>
        </is>
      </c>
      <c r="C394" s="14" t="inlineStr">
        <is>
          <t>RS</t>
        </is>
      </c>
      <c r="D394" s="14" t="inlineStr">
        <is>
          <t>WEC062</t>
        </is>
      </c>
      <c r="E394" s="14" t="inlineStr">
        <is>
          <t>Matched</t>
        </is>
      </c>
      <c r="F394" s="14" t="inlineStr">
        <is>
          <t>No</t>
        </is>
      </c>
      <c r="G394" s="14" t="inlineStr">
        <is>
          <t>Microsoft Power Automate Free</t>
        </is>
      </c>
      <c r="H394" s="14" t="inlineStr">
        <is>
          <t>Likely free / trial</t>
        </is>
      </c>
      <c r="I394" s="18">
        <f>IFERROR(VLOOKUP(G394,SKU_Cost_Input!$A$2:$E$16,4,FALSE),0)</f>
        <v/>
      </c>
      <c r="J394" s="14">
        <f>IFERROR(VLOOKUP(G394,SKU_Cost_Input!$A$2:$E$16,2,FALSE),0)</f>
        <v/>
      </c>
      <c r="K394" s="18">
        <f>IF(J394=0,0,I394/J394)</f>
        <v/>
      </c>
      <c r="L394" s="18">
        <f>K394</f>
        <v/>
      </c>
      <c r="M394" s="14" t="inlineStr">
        <is>
          <t>Exact company email match</t>
        </is>
      </c>
      <c r="N394" s="14" t="inlineStr"/>
    </row>
    <row r="395">
      <c r="A395" s="14" t="inlineStr">
        <is>
          <t>thulani@WearCheckRS.com</t>
        </is>
      </c>
      <c r="B395" s="14" t="inlineStr">
        <is>
          <t>Thulani Tembe</t>
        </is>
      </c>
      <c r="C395" s="14" t="inlineStr">
        <is>
          <t>RS</t>
        </is>
      </c>
      <c r="D395" s="14" t="inlineStr">
        <is>
          <t>WEC062</t>
        </is>
      </c>
      <c r="E395" s="14" t="inlineStr">
        <is>
          <t>Matched</t>
        </is>
      </c>
      <c r="F395" s="14" t="inlineStr">
        <is>
          <t>No</t>
        </is>
      </c>
      <c r="G395" s="14" t="inlineStr">
        <is>
          <t>Microsoft 365 Business Standard</t>
        </is>
      </c>
      <c r="H395" s="14" t="inlineStr">
        <is>
          <t>Likely billable</t>
        </is>
      </c>
      <c r="I395" s="18">
        <f>IFERROR(VLOOKUP(G395,SKU_Cost_Input!$A$2:$E$16,4,FALSE),0)</f>
        <v/>
      </c>
      <c r="J395" s="14">
        <f>IFERROR(VLOOKUP(G395,SKU_Cost_Input!$A$2:$E$16,2,FALSE),0)</f>
        <v/>
      </c>
      <c r="K395" s="18">
        <f>IF(J395=0,0,I395/J395)</f>
        <v/>
      </c>
      <c r="L395" s="18">
        <f>K395</f>
        <v/>
      </c>
      <c r="M395" s="14" t="inlineStr">
        <is>
          <t>Exact company email match</t>
        </is>
      </c>
      <c r="N395" s="14" t="inlineStr">
        <is>
          <t>Review: Business Standard — consider Business Basic if sufficient</t>
        </is>
      </c>
    </row>
    <row r="396">
      <c r="A396" s="14" t="inlineStr">
        <is>
          <t>tonny@WearCheckRS.com</t>
        </is>
      </c>
      <c r="B396" s="14" t="inlineStr">
        <is>
          <t>Tonny Simelani</t>
        </is>
      </c>
      <c r="C396" s="14" t="inlineStr">
        <is>
          <t>RS</t>
        </is>
      </c>
      <c r="D396" s="14" t="inlineStr">
        <is>
          <t>WEC057</t>
        </is>
      </c>
      <c r="E396" s="14" t="inlineStr">
        <is>
          <t>Matched</t>
        </is>
      </c>
      <c r="F396" s="14" t="inlineStr">
        <is>
          <t>No</t>
        </is>
      </c>
      <c r="G396" s="14" t="inlineStr">
        <is>
          <t>Microsoft Defender for Office 365 (Plan 2)</t>
        </is>
      </c>
      <c r="H396" s="14" t="inlineStr">
        <is>
          <t>Likely billable</t>
        </is>
      </c>
      <c r="I396" s="18">
        <f>IFERROR(VLOOKUP(G396,SKU_Cost_Input!$A$2:$E$16,4,FALSE),0)</f>
        <v/>
      </c>
      <c r="J396" s="14">
        <f>IFERROR(VLOOKUP(G396,SKU_Cost_Input!$A$2:$E$16,2,FALSE),0)</f>
        <v/>
      </c>
      <c r="K396" s="18">
        <f>IF(J396=0,0,I396/J396)</f>
        <v/>
      </c>
      <c r="L396" s="18">
        <f>K396</f>
        <v/>
      </c>
      <c r="M396" s="14" t="inlineStr">
        <is>
          <t>Exact company email match</t>
        </is>
      </c>
      <c r="N396" s="14" t="inlineStr"/>
    </row>
    <row r="397">
      <c r="A397" s="14" t="inlineStr">
        <is>
          <t>tonny@WearCheckRS.com</t>
        </is>
      </c>
      <c r="B397" s="14" t="inlineStr">
        <is>
          <t>Tonny Simelani</t>
        </is>
      </c>
      <c r="C397" s="14" t="inlineStr">
        <is>
          <t>RS</t>
        </is>
      </c>
      <c r="D397" s="14" t="inlineStr">
        <is>
          <t>WEC057</t>
        </is>
      </c>
      <c r="E397" s="14" t="inlineStr">
        <is>
          <t>Matched</t>
        </is>
      </c>
      <c r="F397" s="14" t="inlineStr">
        <is>
          <t>No</t>
        </is>
      </c>
      <c r="G397" s="14" t="inlineStr">
        <is>
          <t>Microsoft 365 Business Standard</t>
        </is>
      </c>
      <c r="H397" s="14" t="inlineStr">
        <is>
          <t>Likely billable</t>
        </is>
      </c>
      <c r="I397" s="18">
        <f>IFERROR(VLOOKUP(G397,SKU_Cost_Input!$A$2:$E$16,4,FALSE),0)</f>
        <v/>
      </c>
      <c r="J397" s="14">
        <f>IFERROR(VLOOKUP(G397,SKU_Cost_Input!$A$2:$E$16,2,FALSE),0)</f>
        <v/>
      </c>
      <c r="K397" s="18">
        <f>IF(J397=0,0,I397/J397)</f>
        <v/>
      </c>
      <c r="L397" s="18">
        <f>K397</f>
        <v/>
      </c>
      <c r="M397" s="14" t="inlineStr">
        <is>
          <t>Exact company email match</t>
        </is>
      </c>
      <c r="N397" s="14" t="inlineStr">
        <is>
          <t>Review: Business Standard — consider Business Basic if sufficient</t>
        </is>
      </c>
    </row>
    <row r="398">
      <c r="A398" s="14" t="inlineStr">
        <is>
          <t>tsietsi@WearCheckRS.com</t>
        </is>
      </c>
      <c r="B398" s="14" t="inlineStr">
        <is>
          <t>Tsietsi Monnanyne</t>
        </is>
      </c>
      <c r="C398" s="14" t="inlineStr">
        <is>
          <t>RS</t>
        </is>
      </c>
      <c r="D398" s="14" t="inlineStr">
        <is>
          <t>WEC133</t>
        </is>
      </c>
      <c r="E398" s="14" t="inlineStr">
        <is>
          <t>Matched</t>
        </is>
      </c>
      <c r="F398" s="14" t="inlineStr">
        <is>
          <t>No</t>
        </is>
      </c>
      <c r="G398" s="14" t="inlineStr">
        <is>
          <t>Microsoft Fabric (Free)</t>
        </is>
      </c>
      <c r="H398" s="14" t="inlineStr">
        <is>
          <t>Likely free / trial</t>
        </is>
      </c>
      <c r="I398" s="18">
        <f>IFERROR(VLOOKUP(G398,SKU_Cost_Input!$A$2:$E$16,4,FALSE),0)</f>
        <v/>
      </c>
      <c r="J398" s="14">
        <f>IFERROR(VLOOKUP(G398,SKU_Cost_Input!$A$2:$E$16,2,FALSE),0)</f>
        <v/>
      </c>
      <c r="K398" s="18">
        <f>IF(J398=0,0,I398/J398)</f>
        <v/>
      </c>
      <c r="L398" s="18">
        <f>K398</f>
        <v/>
      </c>
      <c r="M398" s="14" t="inlineStr">
        <is>
          <t>Exact company email match</t>
        </is>
      </c>
      <c r="N398" s="14" t="inlineStr"/>
    </row>
    <row r="399">
      <c r="A399" s="14" t="inlineStr">
        <is>
          <t>tsietsi@WearCheckRS.com</t>
        </is>
      </c>
      <c r="B399" s="14" t="inlineStr">
        <is>
          <t>Tsietsi Monnanyne</t>
        </is>
      </c>
      <c r="C399" s="14" t="inlineStr">
        <is>
          <t>RS</t>
        </is>
      </c>
      <c r="D399" s="14" t="inlineStr">
        <is>
          <t>WEC133</t>
        </is>
      </c>
      <c r="E399" s="14" t="inlineStr">
        <is>
          <t>Matched</t>
        </is>
      </c>
      <c r="F399" s="14" t="inlineStr">
        <is>
          <t>No</t>
        </is>
      </c>
      <c r="G399" s="14" t="inlineStr">
        <is>
          <t>Microsoft 365 Business Standard</t>
        </is>
      </c>
      <c r="H399" s="14" t="inlineStr">
        <is>
          <t>Likely billable</t>
        </is>
      </c>
      <c r="I399" s="18">
        <f>IFERROR(VLOOKUP(G399,SKU_Cost_Input!$A$2:$E$16,4,FALSE),0)</f>
        <v/>
      </c>
      <c r="J399" s="14">
        <f>IFERROR(VLOOKUP(G399,SKU_Cost_Input!$A$2:$E$16,2,FALSE),0)</f>
        <v/>
      </c>
      <c r="K399" s="18">
        <f>IF(J399=0,0,I399/J399)</f>
        <v/>
      </c>
      <c r="L399" s="18">
        <f>K399</f>
        <v/>
      </c>
      <c r="M399" s="14" t="inlineStr">
        <is>
          <t>Exact company email match</t>
        </is>
      </c>
      <c r="N399" s="14" t="inlineStr">
        <is>
          <t>Review: Business Standard — consider Business Basic if sufficient</t>
        </is>
      </c>
    </row>
    <row r="400">
      <c r="A400" s="14" t="inlineStr">
        <is>
          <t>tumelo.samancor@WearCheckRS.com</t>
        </is>
      </c>
      <c r="B400" s="14" t="inlineStr">
        <is>
          <t>Tumelo</t>
        </is>
      </c>
      <c r="C400" s="14" t="inlineStr">
        <is>
          <t>RS</t>
        </is>
      </c>
      <c r="D400" s="14" t="inlineStr"/>
      <c r="E400" s="14" t="inlineStr">
        <is>
          <t>Ex-Employee</t>
        </is>
      </c>
      <c r="F400" s="14" t="inlineStr">
        <is>
          <t>No</t>
        </is>
      </c>
      <c r="G400" s="14" t="inlineStr">
        <is>
          <t>Microsoft Fabric (Free)</t>
        </is>
      </c>
      <c r="H400" s="14" t="inlineStr">
        <is>
          <t>Likely free / trial</t>
        </is>
      </c>
      <c r="I400" s="18">
        <f>IFERROR(VLOOKUP(G400,SKU_Cost_Input!$A$2:$E$16,4,FALSE),0)</f>
        <v/>
      </c>
      <c r="J400" s="14">
        <f>IFERROR(VLOOKUP(G400,SKU_Cost_Input!$A$2:$E$16,2,FALSE),0)</f>
        <v/>
      </c>
      <c r="K400" s="18">
        <f>IF(J400=0,0,I400/J400)</f>
        <v/>
      </c>
      <c r="L400" s="18">
        <f>K400</f>
        <v/>
      </c>
      <c r="M400" s="14" t="inlineStr">
        <is>
          <t>No longer an employee. FLAG: Remove licence.</t>
        </is>
      </c>
      <c r="N400" s="14" t="inlineStr"/>
    </row>
    <row r="401">
      <c r="A401" s="14" t="inlineStr">
        <is>
          <t>Vernon@WearCheckRS.com</t>
        </is>
      </c>
      <c r="B401" s="14" t="inlineStr">
        <is>
          <t>Vernon Calvert</t>
        </is>
      </c>
      <c r="C401" s="14" t="inlineStr">
        <is>
          <t>RS</t>
        </is>
      </c>
      <c r="D401" s="14" t="inlineStr">
        <is>
          <t>WEC124</t>
        </is>
      </c>
      <c r="E401" s="14" t="inlineStr">
        <is>
          <t>Matched</t>
        </is>
      </c>
      <c r="F401" s="14" t="inlineStr">
        <is>
          <t>No</t>
        </is>
      </c>
      <c r="G401" s="14" t="inlineStr">
        <is>
          <t>Microsoft Defender for Office 365 (Plan 2)</t>
        </is>
      </c>
      <c r="H401" s="14" t="inlineStr">
        <is>
          <t>Likely billable</t>
        </is>
      </c>
      <c r="I401" s="18">
        <f>IFERROR(VLOOKUP(G401,SKU_Cost_Input!$A$2:$E$16,4,FALSE),0)</f>
        <v/>
      </c>
      <c r="J401" s="14">
        <f>IFERROR(VLOOKUP(G401,SKU_Cost_Input!$A$2:$E$16,2,FALSE),0)</f>
        <v/>
      </c>
      <c r="K401" s="18">
        <f>IF(J401=0,0,I401/J401)</f>
        <v/>
      </c>
      <c r="L401" s="18">
        <f>K401</f>
        <v/>
      </c>
      <c r="M401" s="14" t="inlineStr">
        <is>
          <t>Exact company email match</t>
        </is>
      </c>
      <c r="N401" s="14" t="inlineStr"/>
    </row>
    <row r="402">
      <c r="A402" s="14" t="inlineStr">
        <is>
          <t>Vernon@WearCheckRS.com</t>
        </is>
      </c>
      <c r="B402" s="14" t="inlineStr">
        <is>
          <t>Vernon Calvert</t>
        </is>
      </c>
      <c r="C402" s="14" t="inlineStr">
        <is>
          <t>RS</t>
        </is>
      </c>
      <c r="D402" s="14" t="inlineStr">
        <is>
          <t>WEC124</t>
        </is>
      </c>
      <c r="E402" s="14" t="inlineStr">
        <is>
          <t>Matched</t>
        </is>
      </c>
      <c r="F402" s="14" t="inlineStr">
        <is>
          <t>No</t>
        </is>
      </c>
      <c r="G402" s="14" t="inlineStr">
        <is>
          <t>Microsoft 365 Business Standard</t>
        </is>
      </c>
      <c r="H402" s="14" t="inlineStr">
        <is>
          <t>Likely billable</t>
        </is>
      </c>
      <c r="I402" s="18">
        <f>IFERROR(VLOOKUP(G402,SKU_Cost_Input!$A$2:$E$16,4,FALSE),0)</f>
        <v/>
      </c>
      <c r="J402" s="14">
        <f>IFERROR(VLOOKUP(G402,SKU_Cost_Input!$A$2:$E$16,2,FALSE),0)</f>
        <v/>
      </c>
      <c r="K402" s="18">
        <f>IF(J402=0,0,I402/J402)</f>
        <v/>
      </c>
      <c r="L402" s="18">
        <f>K402</f>
        <v/>
      </c>
      <c r="M402" s="14" t="inlineStr">
        <is>
          <t>Exact company email match</t>
        </is>
      </c>
      <c r="N402" s="14" t="inlineStr">
        <is>
          <t>Review: Business Standard — consider Business Basic if sufficient</t>
        </is>
      </c>
    </row>
    <row r="403">
      <c r="A403" s="14" t="inlineStr">
        <is>
          <t>HSEQ@WearCheckRS.com</t>
        </is>
      </c>
      <c r="B403" s="14" t="inlineStr">
        <is>
          <t>WCKRS-HSEQ</t>
        </is>
      </c>
      <c r="C403" s="14" t="inlineStr">
        <is>
          <t>RS</t>
        </is>
      </c>
      <c r="D403" s="14" t="n"/>
      <c r="E403" s="14" t="inlineStr">
        <is>
          <t>Mapped by rule</t>
        </is>
      </c>
      <c r="F403" s="14" t="inlineStr">
        <is>
          <t>No</t>
        </is>
      </c>
      <c r="G403" s="14" t="inlineStr">
        <is>
          <t>Microsoft Defender for Office 365 (Plan 2)</t>
        </is>
      </c>
      <c r="H403" s="14" t="inlineStr">
        <is>
          <t>Likely billable</t>
        </is>
      </c>
      <c r="I403" s="18">
        <f>IFERROR(VLOOKUP(G403,SKU_Cost_Input!$A$2:$E$16,4,FALSE),0)</f>
        <v/>
      </c>
      <c r="J403" s="14">
        <f>IFERROR(VLOOKUP(G403,SKU_Cost_Input!$A$2:$E$16,2,FALSE),0)</f>
        <v/>
      </c>
      <c r="K403" s="18">
        <f>IF(J403=0,0,I403/J403)</f>
        <v/>
      </c>
      <c r="L403" s="18">
        <f>K403</f>
        <v/>
      </c>
      <c r="M403" s="14" t="inlineStr">
        <is>
          <t>Generic/shared/service account defaulted to RS per instruction</t>
        </is>
      </c>
      <c r="N403" s="14" t="inlineStr"/>
    </row>
    <row r="404">
      <c r="A404" s="14" t="inlineStr">
        <is>
          <t>HSEQ@WearCheckRS.com</t>
        </is>
      </c>
      <c r="B404" s="14" t="inlineStr">
        <is>
          <t>WCKRS-HSEQ</t>
        </is>
      </c>
      <c r="C404" s="14" t="inlineStr">
        <is>
          <t>RS</t>
        </is>
      </c>
      <c r="D404" s="14" t="n"/>
      <c r="E404" s="14" t="inlineStr">
        <is>
          <t>Mapped by rule</t>
        </is>
      </c>
      <c r="F404" s="14" t="inlineStr">
        <is>
          <t>No</t>
        </is>
      </c>
      <c r="G404" s="14" t="inlineStr">
        <is>
          <t>Microsoft 365 E3</t>
        </is>
      </c>
      <c r="H404" s="14" t="inlineStr">
        <is>
          <t>Likely billable</t>
        </is>
      </c>
      <c r="I404" s="18">
        <f>IFERROR(VLOOKUP(G404,SKU_Cost_Input!$A$2:$E$16,4,FALSE),0)</f>
        <v/>
      </c>
      <c r="J404" s="14">
        <f>IFERROR(VLOOKUP(G404,SKU_Cost_Input!$A$2:$E$16,2,FALSE),0)</f>
        <v/>
      </c>
      <c r="K404" s="18">
        <f>IF(J404=0,0,I404/J404)</f>
        <v/>
      </c>
      <c r="L404" s="18">
        <f>K404</f>
        <v/>
      </c>
      <c r="M404" s="14" t="inlineStr">
        <is>
          <t>Generic/shared/service account defaulted to RS per instruction</t>
        </is>
      </c>
      <c r="N404" s="14" t="inlineStr">
        <is>
          <t>Review: E3 may be downgradeable to E1 or Business Basic</t>
        </is>
      </c>
    </row>
    <row r="405">
      <c r="A405" s="14" t="inlineStr">
        <is>
          <t>Wihan@WearCheckRS.com</t>
        </is>
      </c>
      <c r="B405" s="14" t="inlineStr">
        <is>
          <t>Wihan Willer</t>
        </is>
      </c>
      <c r="C405" s="14" t="inlineStr">
        <is>
          <t>RS</t>
        </is>
      </c>
      <c r="D405" s="14" t="inlineStr">
        <is>
          <t>WEC127</t>
        </is>
      </c>
      <c r="E405" s="14" t="inlineStr">
        <is>
          <t>Matched</t>
        </is>
      </c>
      <c r="F405" s="14" t="inlineStr">
        <is>
          <t>No</t>
        </is>
      </c>
      <c r="G405" s="14" t="inlineStr">
        <is>
          <t>Microsoft Defender for Office 365 (Plan 2)</t>
        </is>
      </c>
      <c r="H405" s="14" t="inlineStr">
        <is>
          <t>Likely billable</t>
        </is>
      </c>
      <c r="I405" s="18">
        <f>IFERROR(VLOOKUP(G405,SKU_Cost_Input!$A$2:$E$16,4,FALSE),0)</f>
        <v/>
      </c>
      <c r="J405" s="14">
        <f>IFERROR(VLOOKUP(G405,SKU_Cost_Input!$A$2:$E$16,2,FALSE),0)</f>
        <v/>
      </c>
      <c r="K405" s="18">
        <f>IF(J405=0,0,I405/J405)</f>
        <v/>
      </c>
      <c r="L405" s="18">
        <f>K405</f>
        <v/>
      </c>
      <c r="M405" s="14" t="inlineStr">
        <is>
          <t>Exact company email match</t>
        </is>
      </c>
      <c r="N405" s="14" t="inlineStr"/>
    </row>
    <row r="406">
      <c r="A406" s="14" t="inlineStr">
        <is>
          <t>Wihan@WearCheckRS.com</t>
        </is>
      </c>
      <c r="B406" s="14" t="inlineStr">
        <is>
          <t>Wihan Willer</t>
        </is>
      </c>
      <c r="C406" s="14" t="inlineStr">
        <is>
          <t>RS</t>
        </is>
      </c>
      <c r="D406" s="14" t="inlineStr">
        <is>
          <t>WEC127</t>
        </is>
      </c>
      <c r="E406" s="14" t="inlineStr">
        <is>
          <t>Matched</t>
        </is>
      </c>
      <c r="F406" s="14" t="inlineStr">
        <is>
          <t>No</t>
        </is>
      </c>
      <c r="G406" s="14" t="inlineStr">
        <is>
          <t>Microsoft 365 Business Standard</t>
        </is>
      </c>
      <c r="H406" s="14" t="inlineStr">
        <is>
          <t>Likely billable</t>
        </is>
      </c>
      <c r="I406" s="18">
        <f>IFERROR(VLOOKUP(G406,SKU_Cost_Input!$A$2:$E$16,4,FALSE),0)</f>
        <v/>
      </c>
      <c r="J406" s="14">
        <f>IFERROR(VLOOKUP(G406,SKU_Cost_Input!$A$2:$E$16,2,FALSE),0)</f>
        <v/>
      </c>
      <c r="K406" s="18">
        <f>IF(J406=0,0,I406/J406)</f>
        <v/>
      </c>
      <c r="L406" s="18">
        <f>K406</f>
        <v/>
      </c>
      <c r="M406" s="14" t="inlineStr">
        <is>
          <t>Exact company email match</t>
        </is>
      </c>
      <c r="N406" s="14" t="inlineStr">
        <is>
          <t>Review: Business Standard — consider Business Basic if sufficient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16"/>
  <autoFilter ref="A1:N406"/>
  <dataValidations count="1">
    <dataValidation sqref="C2:C406" showDropDown="0" showInputMessage="0" showErrorMessage="0" allowBlank="1" errorTitle="Invalid Division" error="Please select a valid division" type="list">
      <formula1>"RS,AFS,Namibia,Mozambique"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D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46" customWidth="1" min="2" max="2"/>
    <col width="15" customWidth="1" min="3" max="3"/>
    <col width="17" customWidth="1" min="4" max="4"/>
  </cols>
  <sheetData>
    <row r="1">
      <c r="A1" s="1" t="inlineStr">
        <is>
          <t>Clean Allocation Table: Division x SKU</t>
        </is>
      </c>
    </row>
    <row r="2">
      <c r="A2" s="3" t="inlineStr">
        <is>
          <t>Cost values update automatically from SKU_Cost_Input</t>
        </is>
      </c>
    </row>
    <row r="3"/>
    <row r="4">
      <c r="A4" s="13" t="inlineStr">
        <is>
          <t>Division</t>
        </is>
      </c>
      <c r="B4" s="13" t="inlineStr">
        <is>
          <t>SKU</t>
        </is>
      </c>
      <c r="C4" s="13" t="inlineStr">
        <is>
          <t>Users</t>
        </is>
      </c>
      <c r="D4" s="13" t="inlineStr">
        <is>
          <t>Allocated Cost</t>
        </is>
      </c>
    </row>
    <row r="5">
      <c r="A5" s="23" t="inlineStr">
        <is>
          <t>RS</t>
        </is>
      </c>
      <c r="B5" s="14" t="inlineStr">
        <is>
          <t>Microsoft Defender for Office 365 (Plan 2)</t>
        </is>
      </c>
      <c r="C5" s="14">
        <f>COUNTIFS(Allocation_Detail!$C$2:$C$406,A5,Allocation_Detail!$G$2:$G$406,B5)</f>
        <v/>
      </c>
      <c r="D5" s="18">
        <f>SUMIFS(Allocation_Detail!$L$2:$L$406,Allocation_Detail!$C$2:$C$406,A5,Allocation_Detail!$G$2:$G$406,B5)</f>
        <v/>
      </c>
    </row>
    <row r="6">
      <c r="A6" s="23" t="inlineStr">
        <is>
          <t>RS</t>
        </is>
      </c>
      <c r="B6" s="14" t="inlineStr">
        <is>
          <t>Microsoft 365 Business Standard</t>
        </is>
      </c>
      <c r="C6" s="14">
        <f>COUNTIFS(Allocation_Detail!$C$2:$C$406,A6,Allocation_Detail!$G$2:$G$406,B6)</f>
        <v/>
      </c>
      <c r="D6" s="18">
        <f>SUMIFS(Allocation_Detail!$L$2:$L$406,Allocation_Detail!$C$2:$C$406,A6,Allocation_Detail!$G$2:$G$406,B6)</f>
        <v/>
      </c>
    </row>
    <row r="7">
      <c r="A7" s="23" t="inlineStr">
        <is>
          <t>RS</t>
        </is>
      </c>
      <c r="B7" s="14" t="inlineStr">
        <is>
          <t>Microsoft Power Automate Free</t>
        </is>
      </c>
      <c r="C7" s="14">
        <f>COUNTIFS(Allocation_Detail!$C$2:$C$406,A7,Allocation_Detail!$G$2:$G$406,B7)</f>
        <v/>
      </c>
      <c r="D7" s="18">
        <f>SUMIFS(Allocation_Detail!$L$2:$L$406,Allocation_Detail!$C$2:$C$406,A7,Allocation_Detail!$G$2:$G$406,B7)</f>
        <v/>
      </c>
    </row>
    <row r="8">
      <c r="A8" s="23" t="inlineStr">
        <is>
          <t>RS</t>
        </is>
      </c>
      <c r="B8" s="14" t="inlineStr">
        <is>
          <t>Microsoft Fabric (Free)</t>
        </is>
      </c>
      <c r="C8" s="14">
        <f>COUNTIFS(Allocation_Detail!$C$2:$C$406,A8,Allocation_Detail!$G$2:$G$406,B8)</f>
        <v/>
      </c>
      <c r="D8" s="18">
        <f>SUMIFS(Allocation_Detail!$L$2:$L$406,Allocation_Detail!$C$2:$C$406,A8,Allocation_Detail!$G$2:$G$406,B8)</f>
        <v/>
      </c>
    </row>
    <row r="9">
      <c r="A9" s="23" t="inlineStr">
        <is>
          <t>RS</t>
        </is>
      </c>
      <c r="B9" s="14" t="inlineStr">
        <is>
          <t>Microsoft 365 Business Premium</t>
        </is>
      </c>
      <c r="C9" s="14">
        <f>COUNTIFS(Allocation_Detail!$C$2:$C$406,A9,Allocation_Detail!$G$2:$G$406,B9)</f>
        <v/>
      </c>
      <c r="D9" s="18">
        <f>SUMIFS(Allocation_Detail!$L$2:$L$406,Allocation_Detail!$C$2:$C$406,A9,Allocation_Detail!$G$2:$G$406,B9)</f>
        <v/>
      </c>
    </row>
    <row r="10">
      <c r="A10" s="23" t="inlineStr">
        <is>
          <t>RS</t>
        </is>
      </c>
      <c r="B10" s="14" t="inlineStr">
        <is>
          <t>Microsoft 365 E3</t>
        </is>
      </c>
      <c r="C10" s="14">
        <f>COUNTIFS(Allocation_Detail!$C$2:$C$406,A10,Allocation_Detail!$G$2:$G$406,B10)</f>
        <v/>
      </c>
      <c r="D10" s="18">
        <f>SUMIFS(Allocation_Detail!$L$2:$L$406,Allocation_Detail!$C$2:$C$406,A10,Allocation_Detail!$G$2:$G$406,B10)</f>
        <v/>
      </c>
    </row>
    <row r="11">
      <c r="A11" s="23" t="inlineStr">
        <is>
          <t>RS</t>
        </is>
      </c>
      <c r="B11" s="14" t="inlineStr">
        <is>
          <t>Microsoft Copilot Studio Viral Trial</t>
        </is>
      </c>
      <c r="C11" s="14">
        <f>COUNTIFS(Allocation_Detail!$C$2:$C$406,A11,Allocation_Detail!$G$2:$G$406,B11)</f>
        <v/>
      </c>
      <c r="D11" s="18">
        <f>SUMIFS(Allocation_Detail!$L$2:$L$406,Allocation_Detail!$C$2:$C$406,A11,Allocation_Detail!$G$2:$G$406,B11)</f>
        <v/>
      </c>
    </row>
    <row r="12">
      <c r="A12" s="23" t="inlineStr">
        <is>
          <t>RS</t>
        </is>
      </c>
      <c r="B12" s="14" t="inlineStr">
        <is>
          <t>Microsoft Power Apps Plan 2 Trial</t>
        </is>
      </c>
      <c r="C12" s="14">
        <f>COUNTIFS(Allocation_Detail!$C$2:$C$406,A12,Allocation_Detail!$G$2:$G$406,B12)</f>
        <v/>
      </c>
      <c r="D12" s="18">
        <f>SUMIFS(Allocation_Detail!$L$2:$L$406,Allocation_Detail!$C$2:$C$406,A12,Allocation_Detail!$G$2:$G$406,B12)</f>
        <v/>
      </c>
    </row>
    <row r="13">
      <c r="A13" s="23" t="inlineStr">
        <is>
          <t>RS</t>
        </is>
      </c>
      <c r="B13" s="14" t="inlineStr">
        <is>
          <t>Microsoft Power Apps for Developer</t>
        </is>
      </c>
      <c r="C13" s="14">
        <f>COUNTIFS(Allocation_Detail!$C$2:$C$406,A13,Allocation_Detail!$G$2:$G$406,B13)</f>
        <v/>
      </c>
      <c r="D13" s="18">
        <f>SUMIFS(Allocation_Detail!$L$2:$L$406,Allocation_Detail!$C$2:$C$406,A13,Allocation_Detail!$G$2:$G$406,B13)</f>
        <v/>
      </c>
    </row>
    <row r="14">
      <c r="A14" s="23" t="inlineStr">
        <is>
          <t>RS</t>
        </is>
      </c>
      <c r="B14" s="14" t="inlineStr">
        <is>
          <t>Power BI Premium Per User</t>
        </is>
      </c>
      <c r="C14" s="14">
        <f>COUNTIFS(Allocation_Detail!$C$2:$C$406,A14,Allocation_Detail!$G$2:$G$406,B14)</f>
        <v/>
      </c>
      <c r="D14" s="18">
        <f>SUMIFS(Allocation_Detail!$L$2:$L$406,Allocation_Detail!$C$2:$C$406,A14,Allocation_Detail!$G$2:$G$406,B14)</f>
        <v/>
      </c>
    </row>
    <row r="15">
      <c r="A15" s="23" t="inlineStr">
        <is>
          <t>RS</t>
        </is>
      </c>
      <c r="B15" s="14" t="inlineStr">
        <is>
          <t>Power Pages vTrial for Makers</t>
        </is>
      </c>
      <c r="C15" s="14">
        <f>COUNTIFS(Allocation_Detail!$C$2:$C$406,A15,Allocation_Detail!$G$2:$G$406,B15)</f>
        <v/>
      </c>
      <c r="D15" s="18">
        <f>SUMIFS(Allocation_Detail!$L$2:$L$406,Allocation_Detail!$C$2:$C$406,A15,Allocation_Detail!$G$2:$G$406,B15)</f>
        <v/>
      </c>
    </row>
    <row r="16">
      <c r="A16" s="23" t="inlineStr">
        <is>
          <t>RS</t>
        </is>
      </c>
      <c r="B16" s="14" t="inlineStr">
        <is>
          <t>Exchange Online (Plan 1)</t>
        </is>
      </c>
      <c r="C16" s="14">
        <f>COUNTIFS(Allocation_Detail!$C$2:$C$406,A16,Allocation_Detail!$G$2:$G$406,B16)</f>
        <v/>
      </c>
      <c r="D16" s="18">
        <f>SUMIFS(Allocation_Detail!$L$2:$L$406,Allocation_Detail!$C$2:$C$406,A16,Allocation_Detail!$G$2:$G$406,B16)</f>
        <v/>
      </c>
    </row>
    <row r="17">
      <c r="A17" s="23" t="inlineStr">
        <is>
          <t>RS</t>
        </is>
      </c>
      <c r="B17" s="14" t="inlineStr">
        <is>
          <t>Dynamics 365 Customer Insights Self-Service</t>
        </is>
      </c>
      <c r="C17" s="14">
        <f>COUNTIFS(Allocation_Detail!$C$2:$C$406,A17,Allocation_Detail!$G$2:$G$406,B17)</f>
        <v/>
      </c>
      <c r="D17" s="18">
        <f>SUMIFS(Allocation_Detail!$L$2:$L$406,Allocation_Detail!$C$2:$C$406,A17,Allocation_Detail!$G$2:$G$406,B17)</f>
        <v/>
      </c>
    </row>
    <row r="18">
      <c r="A18" s="23" t="inlineStr">
        <is>
          <t>RS</t>
        </is>
      </c>
      <c r="B18" s="14" t="inlineStr">
        <is>
          <t>Power Apps per app plan (1 app or website)</t>
        </is>
      </c>
      <c r="C18" s="14">
        <f>COUNTIFS(Allocation_Detail!$C$2:$C$406,A18,Allocation_Detail!$G$2:$G$406,B18)</f>
        <v/>
      </c>
      <c r="D18" s="18">
        <f>SUMIFS(Allocation_Detail!$L$2:$L$406,Allocation_Detail!$C$2:$C$406,A18,Allocation_Detail!$G$2:$G$406,B18)</f>
        <v/>
      </c>
    </row>
    <row r="19">
      <c r="A19" s="23" t="inlineStr">
        <is>
          <t>RS</t>
        </is>
      </c>
      <c r="B19" s="14" t="inlineStr">
        <is>
          <t>Power Automate per user plan</t>
        </is>
      </c>
      <c r="C19" s="14">
        <f>COUNTIFS(Allocation_Detail!$C$2:$C$406,A19,Allocation_Detail!$G$2:$G$406,B19)</f>
        <v/>
      </c>
      <c r="D19" s="18">
        <f>SUMIFS(Allocation_Detail!$L$2:$L$406,Allocation_Detail!$C$2:$C$406,A19,Allocation_Detail!$G$2:$G$406,B19)</f>
        <v/>
      </c>
    </row>
    <row r="20">
      <c r="A20" s="19" t="inlineStr">
        <is>
          <t>AFS</t>
        </is>
      </c>
      <c r="B20" s="14" t="inlineStr">
        <is>
          <t>Microsoft Defender for Office 365 (Plan 2)</t>
        </is>
      </c>
      <c r="C20" s="14">
        <f>COUNTIFS(Allocation_Detail!$C$2:$C$406,A20,Allocation_Detail!$G$2:$G$406,B20)</f>
        <v/>
      </c>
      <c r="D20" s="18">
        <f>SUMIFS(Allocation_Detail!$L$2:$L$406,Allocation_Detail!$C$2:$C$406,A20,Allocation_Detail!$G$2:$G$406,B20)</f>
        <v/>
      </c>
    </row>
    <row r="21">
      <c r="A21" s="19" t="inlineStr">
        <is>
          <t>AFS</t>
        </is>
      </c>
      <c r="B21" s="14" t="inlineStr">
        <is>
          <t>Microsoft 365 Business Standard</t>
        </is>
      </c>
      <c r="C21" s="14">
        <f>COUNTIFS(Allocation_Detail!$C$2:$C$406,A21,Allocation_Detail!$G$2:$G$406,B21)</f>
        <v/>
      </c>
      <c r="D21" s="18">
        <f>SUMIFS(Allocation_Detail!$L$2:$L$406,Allocation_Detail!$C$2:$C$406,A21,Allocation_Detail!$G$2:$G$406,B21)</f>
        <v/>
      </c>
    </row>
    <row r="22">
      <c r="A22" s="19" t="inlineStr">
        <is>
          <t>AFS</t>
        </is>
      </c>
      <c r="B22" s="14" t="inlineStr">
        <is>
          <t>Microsoft Power Automate Free</t>
        </is>
      </c>
      <c r="C22" s="14">
        <f>COUNTIFS(Allocation_Detail!$C$2:$C$406,A22,Allocation_Detail!$G$2:$G$406,B22)</f>
        <v/>
      </c>
      <c r="D22" s="18">
        <f>SUMIFS(Allocation_Detail!$L$2:$L$406,Allocation_Detail!$C$2:$C$406,A22,Allocation_Detail!$G$2:$G$406,B22)</f>
        <v/>
      </c>
    </row>
    <row r="23">
      <c r="A23" s="19" t="inlineStr">
        <is>
          <t>AFS</t>
        </is>
      </c>
      <c r="B23" s="14" t="inlineStr">
        <is>
          <t>Microsoft Fabric (Free)</t>
        </is>
      </c>
      <c r="C23" s="14">
        <f>COUNTIFS(Allocation_Detail!$C$2:$C$406,A23,Allocation_Detail!$G$2:$G$406,B23)</f>
        <v/>
      </c>
      <c r="D23" s="18">
        <f>SUMIFS(Allocation_Detail!$L$2:$L$406,Allocation_Detail!$C$2:$C$406,A23,Allocation_Detail!$G$2:$G$406,B23)</f>
        <v/>
      </c>
    </row>
    <row r="24">
      <c r="A24" s="19" t="inlineStr">
        <is>
          <t>AFS</t>
        </is>
      </c>
      <c r="B24" s="14" t="inlineStr">
        <is>
          <t>Microsoft 365 Business Premium</t>
        </is>
      </c>
      <c r="C24" s="14">
        <f>COUNTIFS(Allocation_Detail!$C$2:$C$406,A24,Allocation_Detail!$G$2:$G$406,B24)</f>
        <v/>
      </c>
      <c r="D24" s="18">
        <f>SUMIFS(Allocation_Detail!$L$2:$L$406,Allocation_Detail!$C$2:$C$406,A24,Allocation_Detail!$G$2:$G$406,B24)</f>
        <v/>
      </c>
    </row>
    <row r="25">
      <c r="A25" s="19" t="inlineStr">
        <is>
          <t>AFS</t>
        </is>
      </c>
      <c r="B25" s="14" t="inlineStr">
        <is>
          <t>Microsoft 365 E3</t>
        </is>
      </c>
      <c r="C25" s="14">
        <f>COUNTIFS(Allocation_Detail!$C$2:$C$406,A25,Allocation_Detail!$G$2:$G$406,B25)</f>
        <v/>
      </c>
      <c r="D25" s="18">
        <f>SUMIFS(Allocation_Detail!$L$2:$L$406,Allocation_Detail!$C$2:$C$406,A25,Allocation_Detail!$G$2:$G$406,B25)</f>
        <v/>
      </c>
    </row>
    <row r="26">
      <c r="A26" s="19" t="inlineStr">
        <is>
          <t>AFS</t>
        </is>
      </c>
      <c r="B26" s="14" t="inlineStr">
        <is>
          <t>Microsoft Copilot Studio Viral Trial</t>
        </is>
      </c>
      <c r="C26" s="14">
        <f>COUNTIFS(Allocation_Detail!$C$2:$C$406,A26,Allocation_Detail!$G$2:$G$406,B26)</f>
        <v/>
      </c>
      <c r="D26" s="18">
        <f>SUMIFS(Allocation_Detail!$L$2:$L$406,Allocation_Detail!$C$2:$C$406,A26,Allocation_Detail!$G$2:$G$406,B26)</f>
        <v/>
      </c>
    </row>
    <row r="27">
      <c r="A27" s="19" t="inlineStr">
        <is>
          <t>AFS</t>
        </is>
      </c>
      <c r="B27" s="14" t="inlineStr">
        <is>
          <t>Microsoft Power Apps Plan 2 Trial</t>
        </is>
      </c>
      <c r="C27" s="14">
        <f>COUNTIFS(Allocation_Detail!$C$2:$C$406,A27,Allocation_Detail!$G$2:$G$406,B27)</f>
        <v/>
      </c>
      <c r="D27" s="18">
        <f>SUMIFS(Allocation_Detail!$L$2:$L$406,Allocation_Detail!$C$2:$C$406,A27,Allocation_Detail!$G$2:$G$406,B27)</f>
        <v/>
      </c>
    </row>
    <row r="28">
      <c r="A28" s="19" t="inlineStr">
        <is>
          <t>AFS</t>
        </is>
      </c>
      <c r="B28" s="14" t="inlineStr">
        <is>
          <t>Microsoft Power Apps for Developer</t>
        </is>
      </c>
      <c r="C28" s="14">
        <f>COUNTIFS(Allocation_Detail!$C$2:$C$406,A28,Allocation_Detail!$G$2:$G$406,B28)</f>
        <v/>
      </c>
      <c r="D28" s="18">
        <f>SUMIFS(Allocation_Detail!$L$2:$L$406,Allocation_Detail!$C$2:$C$406,A28,Allocation_Detail!$G$2:$G$406,B28)</f>
        <v/>
      </c>
    </row>
    <row r="29">
      <c r="A29" s="19" t="inlineStr">
        <is>
          <t>AFS</t>
        </is>
      </c>
      <c r="B29" s="14" t="inlineStr">
        <is>
          <t>Power BI Premium Per User</t>
        </is>
      </c>
      <c r="C29" s="14">
        <f>COUNTIFS(Allocation_Detail!$C$2:$C$406,A29,Allocation_Detail!$G$2:$G$406,B29)</f>
        <v/>
      </c>
      <c r="D29" s="18">
        <f>SUMIFS(Allocation_Detail!$L$2:$L$406,Allocation_Detail!$C$2:$C$406,A29,Allocation_Detail!$G$2:$G$406,B29)</f>
        <v/>
      </c>
    </row>
    <row r="30">
      <c r="A30" s="19" t="inlineStr">
        <is>
          <t>AFS</t>
        </is>
      </c>
      <c r="B30" s="14" t="inlineStr">
        <is>
          <t>Power Pages vTrial for Makers</t>
        </is>
      </c>
      <c r="C30" s="14">
        <f>COUNTIFS(Allocation_Detail!$C$2:$C$406,A30,Allocation_Detail!$G$2:$G$406,B30)</f>
        <v/>
      </c>
      <c r="D30" s="18">
        <f>SUMIFS(Allocation_Detail!$L$2:$L$406,Allocation_Detail!$C$2:$C$406,A30,Allocation_Detail!$G$2:$G$406,B30)</f>
        <v/>
      </c>
    </row>
    <row r="31">
      <c r="A31" s="19" t="inlineStr">
        <is>
          <t>AFS</t>
        </is>
      </c>
      <c r="B31" s="14" t="inlineStr">
        <is>
          <t>Exchange Online (Plan 1)</t>
        </is>
      </c>
      <c r="C31" s="14">
        <f>COUNTIFS(Allocation_Detail!$C$2:$C$406,A31,Allocation_Detail!$G$2:$G$406,B31)</f>
        <v/>
      </c>
      <c r="D31" s="18">
        <f>SUMIFS(Allocation_Detail!$L$2:$L$406,Allocation_Detail!$C$2:$C$406,A31,Allocation_Detail!$G$2:$G$406,B31)</f>
        <v/>
      </c>
    </row>
    <row r="32">
      <c r="A32" s="19" t="inlineStr">
        <is>
          <t>AFS</t>
        </is>
      </c>
      <c r="B32" s="14" t="inlineStr">
        <is>
          <t>Dynamics 365 Customer Insights Self-Service</t>
        </is>
      </c>
      <c r="C32" s="14">
        <f>COUNTIFS(Allocation_Detail!$C$2:$C$406,A32,Allocation_Detail!$G$2:$G$406,B32)</f>
        <v/>
      </c>
      <c r="D32" s="18">
        <f>SUMIFS(Allocation_Detail!$L$2:$L$406,Allocation_Detail!$C$2:$C$406,A32,Allocation_Detail!$G$2:$G$406,B32)</f>
        <v/>
      </c>
    </row>
    <row r="33">
      <c r="A33" s="19" t="inlineStr">
        <is>
          <t>AFS</t>
        </is>
      </c>
      <c r="B33" s="14" t="inlineStr">
        <is>
          <t>Power Apps per app plan (1 app or website)</t>
        </is>
      </c>
      <c r="C33" s="14">
        <f>COUNTIFS(Allocation_Detail!$C$2:$C$406,A33,Allocation_Detail!$G$2:$G$406,B33)</f>
        <v/>
      </c>
      <c r="D33" s="18">
        <f>SUMIFS(Allocation_Detail!$L$2:$L$406,Allocation_Detail!$C$2:$C$406,A33,Allocation_Detail!$G$2:$G$406,B33)</f>
        <v/>
      </c>
    </row>
    <row r="34">
      <c r="A34" s="19" t="inlineStr">
        <is>
          <t>AFS</t>
        </is>
      </c>
      <c r="B34" s="14" t="inlineStr">
        <is>
          <t>Power Automate per user plan</t>
        </is>
      </c>
      <c r="C34" s="14">
        <f>COUNTIFS(Allocation_Detail!$C$2:$C$406,A34,Allocation_Detail!$G$2:$G$406,B34)</f>
        <v/>
      </c>
      <c r="D34" s="18">
        <f>SUMIFS(Allocation_Detail!$L$2:$L$406,Allocation_Detail!$C$2:$C$406,A34,Allocation_Detail!$G$2:$G$406,B34)</f>
        <v/>
      </c>
    </row>
    <row r="35">
      <c r="A35" s="31" t="inlineStr">
        <is>
          <t>Namibia</t>
        </is>
      </c>
      <c r="B35" s="14" t="inlineStr">
        <is>
          <t>Microsoft Defender for Office 365 (Plan 2)</t>
        </is>
      </c>
      <c r="C35" s="14">
        <f>COUNTIFS(Allocation_Detail!$C$2:$C$406,A35,Allocation_Detail!$G$2:$G$406,B35)</f>
        <v/>
      </c>
      <c r="D35" s="18">
        <f>SUMIFS(Allocation_Detail!$L$2:$L$406,Allocation_Detail!$C$2:$C$406,A35,Allocation_Detail!$G$2:$G$406,B35)</f>
        <v/>
      </c>
    </row>
    <row r="36">
      <c r="A36" s="31" t="inlineStr">
        <is>
          <t>Namibia</t>
        </is>
      </c>
      <c r="B36" s="14" t="inlineStr">
        <is>
          <t>Microsoft 365 Business Standard</t>
        </is>
      </c>
      <c r="C36" s="14">
        <f>COUNTIFS(Allocation_Detail!$C$2:$C$406,A36,Allocation_Detail!$G$2:$G$406,B36)</f>
        <v/>
      </c>
      <c r="D36" s="18">
        <f>SUMIFS(Allocation_Detail!$L$2:$L$406,Allocation_Detail!$C$2:$C$406,A36,Allocation_Detail!$G$2:$G$406,B36)</f>
        <v/>
      </c>
    </row>
    <row r="37">
      <c r="A37" s="31" t="inlineStr">
        <is>
          <t>Namibia</t>
        </is>
      </c>
      <c r="B37" s="14" t="inlineStr">
        <is>
          <t>Microsoft Power Automate Free</t>
        </is>
      </c>
      <c r="C37" s="14">
        <f>COUNTIFS(Allocation_Detail!$C$2:$C$406,A37,Allocation_Detail!$G$2:$G$406,B37)</f>
        <v/>
      </c>
      <c r="D37" s="18">
        <f>SUMIFS(Allocation_Detail!$L$2:$L$406,Allocation_Detail!$C$2:$C$406,A37,Allocation_Detail!$G$2:$G$406,B37)</f>
        <v/>
      </c>
    </row>
    <row r="38">
      <c r="A38" s="31" t="inlineStr">
        <is>
          <t>Namibia</t>
        </is>
      </c>
      <c r="B38" s="14" t="inlineStr">
        <is>
          <t>Microsoft Fabric (Free)</t>
        </is>
      </c>
      <c r="C38" s="14">
        <f>COUNTIFS(Allocation_Detail!$C$2:$C$406,A38,Allocation_Detail!$G$2:$G$406,B38)</f>
        <v/>
      </c>
      <c r="D38" s="18">
        <f>SUMIFS(Allocation_Detail!$L$2:$L$406,Allocation_Detail!$C$2:$C$406,A38,Allocation_Detail!$G$2:$G$406,B38)</f>
        <v/>
      </c>
    </row>
    <row r="39">
      <c r="A39" s="31" t="inlineStr">
        <is>
          <t>Namibia</t>
        </is>
      </c>
      <c r="B39" s="14" t="inlineStr">
        <is>
          <t>Microsoft 365 Business Premium</t>
        </is>
      </c>
      <c r="C39" s="14">
        <f>COUNTIFS(Allocation_Detail!$C$2:$C$406,A39,Allocation_Detail!$G$2:$G$406,B39)</f>
        <v/>
      </c>
      <c r="D39" s="18">
        <f>SUMIFS(Allocation_Detail!$L$2:$L$406,Allocation_Detail!$C$2:$C$406,A39,Allocation_Detail!$G$2:$G$406,B39)</f>
        <v/>
      </c>
    </row>
    <row r="40">
      <c r="A40" s="31" t="inlineStr">
        <is>
          <t>Namibia</t>
        </is>
      </c>
      <c r="B40" s="14" t="inlineStr">
        <is>
          <t>Microsoft 365 E3</t>
        </is>
      </c>
      <c r="C40" s="14">
        <f>COUNTIFS(Allocation_Detail!$C$2:$C$406,A40,Allocation_Detail!$G$2:$G$406,B40)</f>
        <v/>
      </c>
      <c r="D40" s="18">
        <f>SUMIFS(Allocation_Detail!$L$2:$L$406,Allocation_Detail!$C$2:$C$406,A40,Allocation_Detail!$G$2:$G$406,B40)</f>
        <v/>
      </c>
    </row>
    <row r="41">
      <c r="A41" s="31" t="inlineStr">
        <is>
          <t>Namibia</t>
        </is>
      </c>
      <c r="B41" s="14" t="inlineStr">
        <is>
          <t>Microsoft Copilot Studio Viral Trial</t>
        </is>
      </c>
      <c r="C41" s="14">
        <f>COUNTIFS(Allocation_Detail!$C$2:$C$406,A41,Allocation_Detail!$G$2:$G$406,B41)</f>
        <v/>
      </c>
      <c r="D41" s="18">
        <f>SUMIFS(Allocation_Detail!$L$2:$L$406,Allocation_Detail!$C$2:$C$406,A41,Allocation_Detail!$G$2:$G$406,B41)</f>
        <v/>
      </c>
    </row>
    <row r="42">
      <c r="A42" s="31" t="inlineStr">
        <is>
          <t>Namibia</t>
        </is>
      </c>
      <c r="B42" s="14" t="inlineStr">
        <is>
          <t>Microsoft Power Apps Plan 2 Trial</t>
        </is>
      </c>
      <c r="C42" s="14">
        <f>COUNTIFS(Allocation_Detail!$C$2:$C$406,A42,Allocation_Detail!$G$2:$G$406,B42)</f>
        <v/>
      </c>
      <c r="D42" s="18">
        <f>SUMIFS(Allocation_Detail!$L$2:$L$406,Allocation_Detail!$C$2:$C$406,A42,Allocation_Detail!$G$2:$G$406,B42)</f>
        <v/>
      </c>
    </row>
    <row r="43">
      <c r="A43" s="31" t="inlineStr">
        <is>
          <t>Namibia</t>
        </is>
      </c>
      <c r="B43" s="14" t="inlineStr">
        <is>
          <t>Microsoft Power Apps for Developer</t>
        </is>
      </c>
      <c r="C43" s="14">
        <f>COUNTIFS(Allocation_Detail!$C$2:$C$406,A43,Allocation_Detail!$G$2:$G$406,B43)</f>
        <v/>
      </c>
      <c r="D43" s="18">
        <f>SUMIFS(Allocation_Detail!$L$2:$L$406,Allocation_Detail!$C$2:$C$406,A43,Allocation_Detail!$G$2:$G$406,B43)</f>
        <v/>
      </c>
    </row>
    <row r="44">
      <c r="A44" s="31" t="inlineStr">
        <is>
          <t>Namibia</t>
        </is>
      </c>
      <c r="B44" s="14" t="inlineStr">
        <is>
          <t>Power BI Premium Per User</t>
        </is>
      </c>
      <c r="C44" s="14">
        <f>COUNTIFS(Allocation_Detail!$C$2:$C$406,A44,Allocation_Detail!$G$2:$G$406,B44)</f>
        <v/>
      </c>
      <c r="D44" s="18">
        <f>SUMIFS(Allocation_Detail!$L$2:$L$406,Allocation_Detail!$C$2:$C$406,A44,Allocation_Detail!$G$2:$G$406,B44)</f>
        <v/>
      </c>
    </row>
    <row r="45">
      <c r="A45" s="31" t="inlineStr">
        <is>
          <t>Namibia</t>
        </is>
      </c>
      <c r="B45" s="14" t="inlineStr">
        <is>
          <t>Power Pages vTrial for Makers</t>
        </is>
      </c>
      <c r="C45" s="14">
        <f>COUNTIFS(Allocation_Detail!$C$2:$C$406,A45,Allocation_Detail!$G$2:$G$406,B45)</f>
        <v/>
      </c>
      <c r="D45" s="18">
        <f>SUMIFS(Allocation_Detail!$L$2:$L$406,Allocation_Detail!$C$2:$C$406,A45,Allocation_Detail!$G$2:$G$406,B45)</f>
        <v/>
      </c>
    </row>
    <row r="46">
      <c r="A46" s="31" t="inlineStr">
        <is>
          <t>Namibia</t>
        </is>
      </c>
      <c r="B46" s="14" t="inlineStr">
        <is>
          <t>Exchange Online (Plan 1)</t>
        </is>
      </c>
      <c r="C46" s="14">
        <f>COUNTIFS(Allocation_Detail!$C$2:$C$406,A46,Allocation_Detail!$G$2:$G$406,B46)</f>
        <v/>
      </c>
      <c r="D46" s="18">
        <f>SUMIFS(Allocation_Detail!$L$2:$L$406,Allocation_Detail!$C$2:$C$406,A46,Allocation_Detail!$G$2:$G$406,B46)</f>
        <v/>
      </c>
    </row>
    <row r="47">
      <c r="A47" s="31" t="inlineStr">
        <is>
          <t>Namibia</t>
        </is>
      </c>
      <c r="B47" s="14" t="inlineStr">
        <is>
          <t>Dynamics 365 Customer Insights Self-Service</t>
        </is>
      </c>
      <c r="C47" s="14">
        <f>COUNTIFS(Allocation_Detail!$C$2:$C$406,A47,Allocation_Detail!$G$2:$G$406,B47)</f>
        <v/>
      </c>
      <c r="D47" s="18">
        <f>SUMIFS(Allocation_Detail!$L$2:$L$406,Allocation_Detail!$C$2:$C$406,A47,Allocation_Detail!$G$2:$G$406,B47)</f>
        <v/>
      </c>
    </row>
    <row r="48">
      <c r="A48" s="31" t="inlineStr">
        <is>
          <t>Namibia</t>
        </is>
      </c>
      <c r="B48" s="14" t="inlineStr">
        <is>
          <t>Power Apps per app plan (1 app or website)</t>
        </is>
      </c>
      <c r="C48" s="14">
        <f>COUNTIFS(Allocation_Detail!$C$2:$C$406,A48,Allocation_Detail!$G$2:$G$406,B48)</f>
        <v/>
      </c>
      <c r="D48" s="18">
        <f>SUMIFS(Allocation_Detail!$L$2:$L$406,Allocation_Detail!$C$2:$C$406,A48,Allocation_Detail!$G$2:$G$406,B48)</f>
        <v/>
      </c>
    </row>
    <row r="49">
      <c r="A49" s="31" t="inlineStr">
        <is>
          <t>Namibia</t>
        </is>
      </c>
      <c r="B49" s="14" t="inlineStr">
        <is>
          <t>Power Automate per user plan</t>
        </is>
      </c>
      <c r="C49" s="14">
        <f>COUNTIFS(Allocation_Detail!$C$2:$C$406,A49,Allocation_Detail!$G$2:$G$406,B49)</f>
        <v/>
      </c>
      <c r="D49" s="18">
        <f>SUMIFS(Allocation_Detail!$L$2:$L$406,Allocation_Detail!$C$2:$C$406,A49,Allocation_Detail!$G$2:$G$406,B49)</f>
        <v/>
      </c>
    </row>
    <row r="50">
      <c r="A50" s="32" t="inlineStr">
        <is>
          <t>Mozambique</t>
        </is>
      </c>
      <c r="B50" s="14" t="inlineStr">
        <is>
          <t>Microsoft Defender for Office 365 (Plan 2)</t>
        </is>
      </c>
      <c r="C50" s="14">
        <f>COUNTIFS(Allocation_Detail!$C$2:$C$406,A50,Allocation_Detail!$G$2:$G$406,B50)</f>
        <v/>
      </c>
      <c r="D50" s="18">
        <f>SUMIFS(Allocation_Detail!$L$2:$L$406,Allocation_Detail!$C$2:$C$406,A50,Allocation_Detail!$G$2:$G$406,B50)</f>
        <v/>
      </c>
    </row>
    <row r="51">
      <c r="A51" s="32" t="inlineStr">
        <is>
          <t>Mozambique</t>
        </is>
      </c>
      <c r="B51" s="14" t="inlineStr">
        <is>
          <t>Microsoft 365 Business Standard</t>
        </is>
      </c>
      <c r="C51" s="14">
        <f>COUNTIFS(Allocation_Detail!$C$2:$C$406,A51,Allocation_Detail!$G$2:$G$406,B51)</f>
        <v/>
      </c>
      <c r="D51" s="18">
        <f>SUMIFS(Allocation_Detail!$L$2:$L$406,Allocation_Detail!$C$2:$C$406,A51,Allocation_Detail!$G$2:$G$406,B51)</f>
        <v/>
      </c>
    </row>
    <row r="52">
      <c r="A52" s="32" t="inlineStr">
        <is>
          <t>Mozambique</t>
        </is>
      </c>
      <c r="B52" s="14" t="inlineStr">
        <is>
          <t>Microsoft Power Automate Free</t>
        </is>
      </c>
      <c r="C52" s="14">
        <f>COUNTIFS(Allocation_Detail!$C$2:$C$406,A52,Allocation_Detail!$G$2:$G$406,B52)</f>
        <v/>
      </c>
      <c r="D52" s="18">
        <f>SUMIFS(Allocation_Detail!$L$2:$L$406,Allocation_Detail!$C$2:$C$406,A52,Allocation_Detail!$G$2:$G$406,B52)</f>
        <v/>
      </c>
    </row>
    <row r="53">
      <c r="A53" s="32" t="inlineStr">
        <is>
          <t>Mozambique</t>
        </is>
      </c>
      <c r="B53" s="14" t="inlineStr">
        <is>
          <t>Microsoft Fabric (Free)</t>
        </is>
      </c>
      <c r="C53" s="14">
        <f>COUNTIFS(Allocation_Detail!$C$2:$C$406,A53,Allocation_Detail!$G$2:$G$406,B53)</f>
        <v/>
      </c>
      <c r="D53" s="18">
        <f>SUMIFS(Allocation_Detail!$L$2:$L$406,Allocation_Detail!$C$2:$C$406,A53,Allocation_Detail!$G$2:$G$406,B53)</f>
        <v/>
      </c>
    </row>
    <row r="54">
      <c r="A54" s="32" t="inlineStr">
        <is>
          <t>Mozambique</t>
        </is>
      </c>
      <c r="B54" s="14" t="inlineStr">
        <is>
          <t>Microsoft 365 Business Premium</t>
        </is>
      </c>
      <c r="C54" s="14">
        <f>COUNTIFS(Allocation_Detail!$C$2:$C$406,A54,Allocation_Detail!$G$2:$G$406,B54)</f>
        <v/>
      </c>
      <c r="D54" s="18">
        <f>SUMIFS(Allocation_Detail!$L$2:$L$406,Allocation_Detail!$C$2:$C$406,A54,Allocation_Detail!$G$2:$G$406,B54)</f>
        <v/>
      </c>
    </row>
    <row r="55">
      <c r="A55" s="32" t="inlineStr">
        <is>
          <t>Mozambique</t>
        </is>
      </c>
      <c r="B55" s="14" t="inlineStr">
        <is>
          <t>Microsoft 365 E3</t>
        </is>
      </c>
      <c r="C55" s="14">
        <f>COUNTIFS(Allocation_Detail!$C$2:$C$406,A55,Allocation_Detail!$G$2:$G$406,B55)</f>
        <v/>
      </c>
      <c r="D55" s="18">
        <f>SUMIFS(Allocation_Detail!$L$2:$L$406,Allocation_Detail!$C$2:$C$406,A55,Allocation_Detail!$G$2:$G$406,B55)</f>
        <v/>
      </c>
    </row>
    <row r="56">
      <c r="A56" s="32" t="inlineStr">
        <is>
          <t>Mozambique</t>
        </is>
      </c>
      <c r="B56" s="14" t="inlineStr">
        <is>
          <t>Microsoft Copilot Studio Viral Trial</t>
        </is>
      </c>
      <c r="C56" s="14">
        <f>COUNTIFS(Allocation_Detail!$C$2:$C$406,A56,Allocation_Detail!$G$2:$G$406,B56)</f>
        <v/>
      </c>
      <c r="D56" s="18">
        <f>SUMIFS(Allocation_Detail!$L$2:$L$406,Allocation_Detail!$C$2:$C$406,A56,Allocation_Detail!$G$2:$G$406,B56)</f>
        <v/>
      </c>
    </row>
    <row r="57">
      <c r="A57" s="32" t="inlineStr">
        <is>
          <t>Mozambique</t>
        </is>
      </c>
      <c r="B57" s="14" t="inlineStr">
        <is>
          <t>Microsoft Power Apps Plan 2 Trial</t>
        </is>
      </c>
      <c r="C57" s="14">
        <f>COUNTIFS(Allocation_Detail!$C$2:$C$406,A57,Allocation_Detail!$G$2:$G$406,B57)</f>
        <v/>
      </c>
      <c r="D57" s="18">
        <f>SUMIFS(Allocation_Detail!$L$2:$L$406,Allocation_Detail!$C$2:$C$406,A57,Allocation_Detail!$G$2:$G$406,B57)</f>
        <v/>
      </c>
    </row>
    <row r="58">
      <c r="A58" s="32" t="inlineStr">
        <is>
          <t>Mozambique</t>
        </is>
      </c>
      <c r="B58" s="14" t="inlineStr">
        <is>
          <t>Microsoft Power Apps for Developer</t>
        </is>
      </c>
      <c r="C58" s="14">
        <f>COUNTIFS(Allocation_Detail!$C$2:$C$406,A58,Allocation_Detail!$G$2:$G$406,B58)</f>
        <v/>
      </c>
      <c r="D58" s="18">
        <f>SUMIFS(Allocation_Detail!$L$2:$L$406,Allocation_Detail!$C$2:$C$406,A58,Allocation_Detail!$G$2:$G$406,B58)</f>
        <v/>
      </c>
    </row>
    <row r="59">
      <c r="A59" s="32" t="inlineStr">
        <is>
          <t>Mozambique</t>
        </is>
      </c>
      <c r="B59" s="14" t="inlineStr">
        <is>
          <t>Power BI Premium Per User</t>
        </is>
      </c>
      <c r="C59" s="14">
        <f>COUNTIFS(Allocation_Detail!$C$2:$C$406,A59,Allocation_Detail!$G$2:$G$406,B59)</f>
        <v/>
      </c>
      <c r="D59" s="18">
        <f>SUMIFS(Allocation_Detail!$L$2:$L$406,Allocation_Detail!$C$2:$C$406,A59,Allocation_Detail!$G$2:$G$406,B59)</f>
        <v/>
      </c>
    </row>
    <row r="60">
      <c r="A60" s="32" t="inlineStr">
        <is>
          <t>Mozambique</t>
        </is>
      </c>
      <c r="B60" s="14" t="inlineStr">
        <is>
          <t>Power Pages vTrial for Makers</t>
        </is>
      </c>
      <c r="C60" s="14">
        <f>COUNTIFS(Allocation_Detail!$C$2:$C$406,A60,Allocation_Detail!$G$2:$G$406,B60)</f>
        <v/>
      </c>
      <c r="D60" s="18">
        <f>SUMIFS(Allocation_Detail!$L$2:$L$406,Allocation_Detail!$C$2:$C$406,A60,Allocation_Detail!$G$2:$G$406,B60)</f>
        <v/>
      </c>
    </row>
    <row r="61">
      <c r="A61" s="32" t="inlineStr">
        <is>
          <t>Mozambique</t>
        </is>
      </c>
      <c r="B61" s="14" t="inlineStr">
        <is>
          <t>Exchange Online (Plan 1)</t>
        </is>
      </c>
      <c r="C61" s="14">
        <f>COUNTIFS(Allocation_Detail!$C$2:$C$406,A61,Allocation_Detail!$G$2:$G$406,B61)</f>
        <v/>
      </c>
      <c r="D61" s="18">
        <f>SUMIFS(Allocation_Detail!$L$2:$L$406,Allocation_Detail!$C$2:$C$406,A61,Allocation_Detail!$G$2:$G$406,B61)</f>
        <v/>
      </c>
    </row>
    <row r="62">
      <c r="A62" s="32" t="inlineStr">
        <is>
          <t>Mozambique</t>
        </is>
      </c>
      <c r="B62" s="14" t="inlineStr">
        <is>
          <t>Dynamics 365 Customer Insights Self-Service</t>
        </is>
      </c>
      <c r="C62" s="14">
        <f>COUNTIFS(Allocation_Detail!$C$2:$C$406,A62,Allocation_Detail!$G$2:$G$406,B62)</f>
        <v/>
      </c>
      <c r="D62" s="18">
        <f>SUMIFS(Allocation_Detail!$L$2:$L$406,Allocation_Detail!$C$2:$C$406,A62,Allocation_Detail!$G$2:$G$406,B62)</f>
        <v/>
      </c>
    </row>
    <row r="63">
      <c r="A63" s="32" t="inlineStr">
        <is>
          <t>Mozambique</t>
        </is>
      </c>
      <c r="B63" s="14" t="inlineStr">
        <is>
          <t>Power Apps per app plan (1 app or website)</t>
        </is>
      </c>
      <c r="C63" s="14">
        <f>COUNTIFS(Allocation_Detail!$C$2:$C$406,A63,Allocation_Detail!$G$2:$G$406,B63)</f>
        <v/>
      </c>
      <c r="D63" s="18">
        <f>SUMIFS(Allocation_Detail!$L$2:$L$406,Allocation_Detail!$C$2:$C$406,A63,Allocation_Detail!$G$2:$G$406,B63)</f>
        <v/>
      </c>
    </row>
    <row r="64">
      <c r="A64" s="32" t="inlineStr">
        <is>
          <t>Mozambique</t>
        </is>
      </c>
      <c r="B64" s="14" t="inlineStr">
        <is>
          <t>Power Automate per user plan</t>
        </is>
      </c>
      <c r="C64" s="14">
        <f>COUNTIFS(Allocation_Detail!$C$2:$C$406,A64,Allocation_Detail!$G$2:$G$406,B64)</f>
        <v/>
      </c>
      <c r="D64" s="18">
        <f>SUMIFS(Allocation_Detail!$L$2:$L$406,Allocation_Detail!$C$2:$C$406,A64,Allocation_Detail!$G$2:$G$406,B64)</f>
        <v/>
      </c>
    </row>
    <row r="65">
      <c r="A65" s="22" t="inlineStr">
        <is>
          <t>TOTAL</t>
        </is>
      </c>
      <c r="B65" s="23" t="n"/>
      <c r="C65" s="22">
        <f>SUM(C5:C64)</f>
        <v/>
      </c>
      <c r="D65" s="24">
        <f>SUM(D5:D64)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16"/>
  <autoFilter ref="A4:D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F5496"/>
    <outlinePr summaryBelow="1" summaryRight="1"/>
    <pageSetUpPr fitToPage="1"/>
  </sheetPr>
  <dimension ref="A1:F6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8" customWidth="1" min="3" max="3"/>
    <col width="21" customWidth="1" min="4" max="4"/>
    <col width="40" customWidth="1" min="5" max="5"/>
    <col width="40" customWidth="1" min="6" max="6"/>
  </cols>
  <sheetData>
    <row r="1">
      <c r="A1" s="1" t="inlineStr">
        <is>
          <t>Microsoft License Allocation Summary</t>
        </is>
      </c>
    </row>
    <row r="2">
      <c r="A2" s="2">
        <f>Invoice_Input!B4</f>
        <v/>
      </c>
    </row>
    <row r="3">
      <c r="A3" s="3" t="inlineStr">
        <is>
          <t>Enter monthly invoice amounts on SKU_Cost_Input. Values update automatically.</t>
        </is>
      </c>
    </row>
    <row r="4"/>
    <row r="5">
      <c r="A5" s="33" t="inlineStr">
        <is>
          <t>KPI</t>
        </is>
      </c>
      <c r="B5" s="33" t="inlineStr">
        <is>
          <t>Value</t>
        </is>
      </c>
    </row>
    <row r="6">
      <c r="A6" s="34" t="inlineStr">
        <is>
          <t>Billing Period</t>
        </is>
      </c>
      <c r="B6" s="34">
        <f>Invoice_Input!B4</f>
        <v/>
      </c>
    </row>
    <row r="7">
      <c r="A7" s="34" t="inlineStr">
        <is>
          <t>Licensed accounts in export</t>
        </is>
      </c>
      <c r="B7" s="34" t="n">
        <v>147</v>
      </c>
    </row>
    <row r="8">
      <c r="A8" s="34" t="inlineStr">
        <is>
          <t>Matched to cost centre (High)</t>
        </is>
      </c>
      <c r="B8" s="34">
        <f>COUNTIF(User_Match!$H$2:$H$148,"High")</f>
        <v/>
      </c>
    </row>
    <row r="9">
      <c r="A9" s="34" t="inlineStr">
        <is>
          <t>Accounts needing review</t>
        </is>
      </c>
      <c r="B9" s="34">
        <f>COUNTIF(User_Match!$I$2:$I$148,"Yes")</f>
        <v/>
      </c>
    </row>
    <row r="10">
      <c r="A10" s="34" t="inlineStr">
        <is>
          <t>Invoice Total (excl VAT)</t>
        </is>
      </c>
      <c r="B10" s="10">
        <f>Invoice_Input!B11</f>
        <v/>
      </c>
    </row>
    <row r="11">
      <c r="A11" s="34" t="inlineStr">
        <is>
          <t>VAT Amount</t>
        </is>
      </c>
      <c r="B11" s="10">
        <f>SKU_Cost_Input!F17</f>
        <v/>
      </c>
    </row>
    <row r="12">
      <c r="A12" s="34" t="inlineStr">
        <is>
          <t>Invoice Total (incl VAT)</t>
        </is>
      </c>
      <c r="B12" s="10">
        <f>Invoice_Input!B9</f>
        <v/>
      </c>
    </row>
    <row r="13">
      <c r="A13" s="34" t="inlineStr">
        <is>
          <t>Allocated Total (excl VAT)</t>
        </is>
      </c>
      <c r="B13" s="10">
        <f>SKU_Cost_Input!D17</f>
        <v/>
      </c>
    </row>
    <row r="14">
      <c r="A14" s="34" t="inlineStr">
        <is>
          <t>Reconciliation Status</t>
        </is>
      </c>
      <c r="B14" s="35">
        <f>Invoice_Input!B19</f>
        <v/>
      </c>
    </row>
    <row r="15">
      <c r="A15" s="34" t="inlineStr">
        <is>
          <t>SKU Qty Discrepancies (Invoice vs Admin)</t>
        </is>
      </c>
      <c r="B15" s="34" t="n">
        <v>5</v>
      </c>
    </row>
    <row r="16">
      <c r="A16" s="34" t="inlineStr">
        <is>
          <t>Total Tenant Accounts (CSV)</t>
        </is>
      </c>
      <c r="B16" s="34" t="n">
        <v>842</v>
      </c>
    </row>
    <row r="17">
      <c r="A17" s="34" t="inlineStr">
        <is>
          <t>Licensed Users (CSV)</t>
        </is>
      </c>
      <c r="B17" s="34" t="n">
        <v>147</v>
      </c>
    </row>
    <row r="18">
      <c r="A18" s="34" t="inlineStr">
        <is>
          <t>Unlicensed Accounts</t>
        </is>
      </c>
      <c r="B18" s="34" t="n">
        <v>641</v>
      </c>
    </row>
    <row r="19">
      <c r="A19" s="34" t="inlineStr">
        <is>
          <t>Soft-Deleted Accounts</t>
        </is>
      </c>
      <c r="B19" s="34" t="n">
        <v>54</v>
      </c>
    </row>
    <row r="20">
      <c r="A20" s="34" t="inlineStr">
        <is>
          <t>Unassigned Paid Licences (total)</t>
        </is>
      </c>
      <c r="B20" s="34" t="n">
        <v>7</v>
      </c>
    </row>
    <row r="21">
      <c r="A21" s="34" t="inlineStr">
        <is>
          <t>Wasted Monthly Spend (excl VAT)</t>
        </is>
      </c>
      <c r="B21" s="10" t="n">
        <v>1994.21</v>
      </c>
    </row>
    <row r="22">
      <c r="A22" s="34" t="inlineStr">
        <is>
          <t>COITE Queries Raised</t>
        </is>
      </c>
      <c r="B22" s="34" t="n">
        <v>6</v>
      </c>
    </row>
    <row r="23">
      <c r="A23" s="34" t="inlineStr">
        <is>
          <t>Ex-Employee Licences (remove)</t>
        </is>
      </c>
      <c r="B23" s="34">
        <f>COUNTIF(User_Match!$J$2:$J$148,"Ex-Employee")</f>
        <v/>
      </c>
    </row>
    <row r="24">
      <c r="A24" s="34" t="inlineStr">
        <is>
          <t>Contractor Licences</t>
        </is>
      </c>
      <c r="B24" s="34">
        <f>COUNTIF(User_Match!$J$2:$J$148,"Contractor")</f>
        <v/>
      </c>
    </row>
    <row r="25"/>
    <row r="26"/>
    <row r="27">
      <c r="A27" s="13" t="inlineStr">
        <is>
          <t>Division</t>
        </is>
      </c>
      <c r="B27" s="13" t="inlineStr">
        <is>
          <t>Licensed Accounts</t>
        </is>
      </c>
      <c r="C27" s="13" t="inlineStr">
        <is>
          <t>Review Accounts</t>
        </is>
      </c>
      <c r="D27" s="13" t="inlineStr">
        <is>
          <t>SKU Assignments</t>
        </is>
      </c>
      <c r="E27" s="13" t="inlineStr">
        <is>
          <t>Allocated Monthly Cost (excl VAT)</t>
        </is>
      </c>
      <c r="F27" s="13" t="inlineStr">
        <is>
          <t>% of Total Cost</t>
        </is>
      </c>
    </row>
    <row r="28">
      <c r="A28" s="23" t="inlineStr">
        <is>
          <t>RS</t>
        </is>
      </c>
      <c r="B28" s="14">
        <f>COUNTIF(User_Match!$F$2:$F$148,A28)</f>
        <v/>
      </c>
      <c r="C28" s="14">
        <f>COUNTIFS(User_Match!$F$2:$F$148,A28,User_Match!$I$2:$I$148,"Yes")</f>
        <v/>
      </c>
      <c r="D28" s="14">
        <f>COUNTIF(Allocation_Detail!$C$2:$C$406,A28)</f>
        <v/>
      </c>
      <c r="E28" s="18">
        <f>SUMIF(Allocation_Detail!$C$2:$C$406,A28,Allocation_Detail!$L$2:$L$406)</f>
        <v/>
      </c>
      <c r="F28" s="36">
        <f>IF(E32=0,0,E28/E32)</f>
        <v/>
      </c>
    </row>
    <row r="29">
      <c r="A29" s="19" t="inlineStr">
        <is>
          <t>AFS</t>
        </is>
      </c>
      <c r="B29" s="14">
        <f>COUNTIF(User_Match!$F$2:$F$148,A29)</f>
        <v/>
      </c>
      <c r="C29" s="14">
        <f>COUNTIFS(User_Match!$F$2:$F$148,A29,User_Match!$I$2:$I$148,"Yes")</f>
        <v/>
      </c>
      <c r="D29" s="14">
        <f>COUNTIF(Allocation_Detail!$C$2:$C$406,A29)</f>
        <v/>
      </c>
      <c r="E29" s="18">
        <f>SUMIF(Allocation_Detail!$C$2:$C$406,A29,Allocation_Detail!$L$2:$L$406)</f>
        <v/>
      </c>
      <c r="F29" s="36">
        <f>IF(E32=0,0,E29/E32)</f>
        <v/>
      </c>
    </row>
    <row r="30">
      <c r="A30" s="31" t="inlineStr">
        <is>
          <t>Namibia</t>
        </is>
      </c>
      <c r="B30" s="14">
        <f>COUNTIF(User_Match!$F$2:$F$148,A30)</f>
        <v/>
      </c>
      <c r="C30" s="14">
        <f>COUNTIFS(User_Match!$F$2:$F$148,A30,User_Match!$I$2:$I$148,"Yes")</f>
        <v/>
      </c>
      <c r="D30" s="14">
        <f>COUNTIF(Allocation_Detail!$C$2:$C$406,A30)</f>
        <v/>
      </c>
      <c r="E30" s="18">
        <f>SUMIF(Allocation_Detail!$C$2:$C$406,A30,Allocation_Detail!$L$2:$L$406)</f>
        <v/>
      </c>
      <c r="F30" s="36">
        <f>IF(E32=0,0,E30/E32)</f>
        <v/>
      </c>
    </row>
    <row r="31">
      <c r="A31" s="32" t="inlineStr">
        <is>
          <t>Mozambique</t>
        </is>
      </c>
      <c r="B31" s="14">
        <f>COUNTIF(User_Match!$F$2:$F$148,A31)</f>
        <v/>
      </c>
      <c r="C31" s="14">
        <f>COUNTIFS(User_Match!$F$2:$F$148,A31,User_Match!$I$2:$I$148,"Yes")</f>
        <v/>
      </c>
      <c r="D31" s="14">
        <f>COUNTIF(Allocation_Detail!$C$2:$C$406,A31)</f>
        <v/>
      </c>
      <c r="E31" s="18">
        <f>SUMIF(Allocation_Detail!$C$2:$C$406,A31,Allocation_Detail!$L$2:$L$406)</f>
        <v/>
      </c>
      <c r="F31" s="36">
        <f>IF(E32=0,0,E31/E32)</f>
        <v/>
      </c>
    </row>
    <row r="32">
      <c r="A32" s="37" t="inlineStr">
        <is>
          <t>TOTAL</t>
        </is>
      </c>
      <c r="B32" s="37">
        <f>SUM(B28:B31)</f>
        <v/>
      </c>
      <c r="C32" s="37">
        <f>SUM(C28:C31)</f>
        <v/>
      </c>
      <c r="D32" s="37">
        <f>SUM(D28:D31)</f>
        <v/>
      </c>
      <c r="E32" s="38">
        <f>SUM(E28:E31)</f>
        <v/>
      </c>
      <c r="F32" s="39">
        <f>IF(E32=0,0,E32/E32)</f>
        <v/>
      </c>
    </row>
    <row r="33"/>
    <row r="34"/>
    <row r="35">
      <c r="A35" s="2" t="inlineStr">
        <is>
          <t>SKU Cost Breakdown</t>
        </is>
      </c>
    </row>
    <row r="36">
      <c r="A36" s="13" t="inlineStr">
        <is>
          <t>SKU</t>
        </is>
      </c>
      <c r="B36" s="13" t="inlineStr">
        <is>
          <t>Active Users</t>
        </is>
      </c>
      <c r="C36" s="13" t="inlineStr">
        <is>
          <t>Invoice Amount (excl VAT)</t>
        </is>
      </c>
      <c r="D36" s="13" t="inlineStr">
        <is>
          <t>Unit Cost Per User</t>
        </is>
      </c>
      <c r="E36" s="13" t="inlineStr">
        <is>
          <t>VAT Amount</t>
        </is>
      </c>
      <c r="F36" s="13" t="inlineStr">
        <is>
          <t>Total incl VAT</t>
        </is>
      </c>
    </row>
    <row r="37">
      <c r="A37" s="14" t="inlineStr">
        <is>
          <t>Microsoft Defender for Office 365 (Plan 2)</t>
        </is>
      </c>
      <c r="B37" s="14">
        <f>SKU_Cost_Input!B2</f>
        <v/>
      </c>
      <c r="C37" s="18">
        <f>SKU_Cost_Input!D2</f>
        <v/>
      </c>
      <c r="D37" s="18">
        <f>SKU_Cost_Input!E2</f>
        <v/>
      </c>
      <c r="E37" s="18">
        <f>SKU_Cost_Input!F2</f>
        <v/>
      </c>
      <c r="F37" s="18">
        <f>SKU_Cost_Input!G2</f>
        <v/>
      </c>
    </row>
    <row r="38">
      <c r="A38" s="14" t="inlineStr">
        <is>
          <t>Microsoft 365 Business Standard</t>
        </is>
      </c>
      <c r="B38" s="14">
        <f>SKU_Cost_Input!B3</f>
        <v/>
      </c>
      <c r="C38" s="18">
        <f>SKU_Cost_Input!D3</f>
        <v/>
      </c>
      <c r="D38" s="18">
        <f>SKU_Cost_Input!E3</f>
        <v/>
      </c>
      <c r="E38" s="18">
        <f>SKU_Cost_Input!F3</f>
        <v/>
      </c>
      <c r="F38" s="18">
        <f>SKU_Cost_Input!G3</f>
        <v/>
      </c>
    </row>
    <row r="39">
      <c r="A39" s="14" t="inlineStr">
        <is>
          <t>Microsoft Power Automate Free</t>
        </is>
      </c>
      <c r="B39" s="14">
        <f>SKU_Cost_Input!B4</f>
        <v/>
      </c>
      <c r="C39" s="18">
        <f>SKU_Cost_Input!D4</f>
        <v/>
      </c>
      <c r="D39" s="18">
        <f>SKU_Cost_Input!E4</f>
        <v/>
      </c>
      <c r="E39" s="18">
        <f>SKU_Cost_Input!F4</f>
        <v/>
      </c>
      <c r="F39" s="18">
        <f>SKU_Cost_Input!G4</f>
        <v/>
      </c>
    </row>
    <row r="40">
      <c r="A40" s="14" t="inlineStr">
        <is>
          <t>Microsoft Fabric (Free)</t>
        </is>
      </c>
      <c r="B40" s="14">
        <f>SKU_Cost_Input!B5</f>
        <v/>
      </c>
      <c r="C40" s="18">
        <f>SKU_Cost_Input!D5</f>
        <v/>
      </c>
      <c r="D40" s="18">
        <f>SKU_Cost_Input!E5</f>
        <v/>
      </c>
      <c r="E40" s="18">
        <f>SKU_Cost_Input!F5</f>
        <v/>
      </c>
      <c r="F40" s="18">
        <f>SKU_Cost_Input!G5</f>
        <v/>
      </c>
    </row>
    <row r="41">
      <c r="A41" s="14" t="inlineStr">
        <is>
          <t>Microsoft 365 Business Premium</t>
        </is>
      </c>
      <c r="B41" s="14">
        <f>SKU_Cost_Input!B6</f>
        <v/>
      </c>
      <c r="C41" s="18">
        <f>SKU_Cost_Input!D6</f>
        <v/>
      </c>
      <c r="D41" s="18">
        <f>SKU_Cost_Input!E6</f>
        <v/>
      </c>
      <c r="E41" s="18">
        <f>SKU_Cost_Input!F6</f>
        <v/>
      </c>
      <c r="F41" s="18">
        <f>SKU_Cost_Input!G6</f>
        <v/>
      </c>
    </row>
    <row r="42">
      <c r="A42" s="14" t="inlineStr">
        <is>
          <t>Microsoft 365 E3</t>
        </is>
      </c>
      <c r="B42" s="14">
        <f>SKU_Cost_Input!B7</f>
        <v/>
      </c>
      <c r="C42" s="18">
        <f>SKU_Cost_Input!D7</f>
        <v/>
      </c>
      <c r="D42" s="18">
        <f>SKU_Cost_Input!E7</f>
        <v/>
      </c>
      <c r="E42" s="18">
        <f>SKU_Cost_Input!F7</f>
        <v/>
      </c>
      <c r="F42" s="18">
        <f>SKU_Cost_Input!G7</f>
        <v/>
      </c>
    </row>
    <row r="43">
      <c r="A43" s="14" t="inlineStr">
        <is>
          <t>Microsoft Copilot Studio Viral Trial</t>
        </is>
      </c>
      <c r="B43" s="14">
        <f>SKU_Cost_Input!B8</f>
        <v/>
      </c>
      <c r="C43" s="18">
        <f>SKU_Cost_Input!D8</f>
        <v/>
      </c>
      <c r="D43" s="18">
        <f>SKU_Cost_Input!E8</f>
        <v/>
      </c>
      <c r="E43" s="18">
        <f>SKU_Cost_Input!F8</f>
        <v/>
      </c>
      <c r="F43" s="18">
        <f>SKU_Cost_Input!G8</f>
        <v/>
      </c>
    </row>
    <row r="44">
      <c r="A44" s="14" t="inlineStr">
        <is>
          <t>Microsoft Power Apps Plan 2 Trial</t>
        </is>
      </c>
      <c r="B44" s="14">
        <f>SKU_Cost_Input!B9</f>
        <v/>
      </c>
      <c r="C44" s="18">
        <f>SKU_Cost_Input!D9</f>
        <v/>
      </c>
      <c r="D44" s="18">
        <f>SKU_Cost_Input!E9</f>
        <v/>
      </c>
      <c r="E44" s="18">
        <f>SKU_Cost_Input!F9</f>
        <v/>
      </c>
      <c r="F44" s="18">
        <f>SKU_Cost_Input!G9</f>
        <v/>
      </c>
    </row>
    <row r="45">
      <c r="A45" s="14" t="inlineStr">
        <is>
          <t>Microsoft Power Apps for Developer</t>
        </is>
      </c>
      <c r="B45" s="14">
        <f>SKU_Cost_Input!B10</f>
        <v/>
      </c>
      <c r="C45" s="18">
        <f>SKU_Cost_Input!D10</f>
        <v/>
      </c>
      <c r="D45" s="18">
        <f>SKU_Cost_Input!E10</f>
        <v/>
      </c>
      <c r="E45" s="18">
        <f>SKU_Cost_Input!F10</f>
        <v/>
      </c>
      <c r="F45" s="18">
        <f>SKU_Cost_Input!G10</f>
        <v/>
      </c>
    </row>
    <row r="46">
      <c r="A46" s="14" t="inlineStr">
        <is>
          <t>Power BI Premium Per User</t>
        </is>
      </c>
      <c r="B46" s="14">
        <f>SKU_Cost_Input!B11</f>
        <v/>
      </c>
      <c r="C46" s="18">
        <f>SKU_Cost_Input!D11</f>
        <v/>
      </c>
      <c r="D46" s="18">
        <f>SKU_Cost_Input!E11</f>
        <v/>
      </c>
      <c r="E46" s="18">
        <f>SKU_Cost_Input!F11</f>
        <v/>
      </c>
      <c r="F46" s="18">
        <f>SKU_Cost_Input!G11</f>
        <v/>
      </c>
    </row>
    <row r="47">
      <c r="A47" s="14" t="inlineStr">
        <is>
          <t>Power Pages vTrial for Makers</t>
        </is>
      </c>
      <c r="B47" s="14">
        <f>SKU_Cost_Input!B12</f>
        <v/>
      </c>
      <c r="C47" s="18">
        <f>SKU_Cost_Input!D12</f>
        <v/>
      </c>
      <c r="D47" s="18">
        <f>SKU_Cost_Input!E12</f>
        <v/>
      </c>
      <c r="E47" s="18">
        <f>SKU_Cost_Input!F12</f>
        <v/>
      </c>
      <c r="F47" s="18">
        <f>SKU_Cost_Input!G12</f>
        <v/>
      </c>
    </row>
    <row r="48">
      <c r="A48" s="14" t="inlineStr">
        <is>
          <t>Exchange Online (Plan 1)</t>
        </is>
      </c>
      <c r="B48" s="14">
        <f>SKU_Cost_Input!B13</f>
        <v/>
      </c>
      <c r="C48" s="18">
        <f>SKU_Cost_Input!D13</f>
        <v/>
      </c>
      <c r="D48" s="18">
        <f>SKU_Cost_Input!E13</f>
        <v/>
      </c>
      <c r="E48" s="18">
        <f>SKU_Cost_Input!F13</f>
        <v/>
      </c>
      <c r="F48" s="18">
        <f>SKU_Cost_Input!G13</f>
        <v/>
      </c>
    </row>
    <row r="49">
      <c r="A49" s="14" t="inlineStr">
        <is>
          <t>Dynamics 365 Customer Insights Self-Service</t>
        </is>
      </c>
      <c r="B49" s="14">
        <f>SKU_Cost_Input!B14</f>
        <v/>
      </c>
      <c r="C49" s="18">
        <f>SKU_Cost_Input!D14</f>
        <v/>
      </c>
      <c r="D49" s="18">
        <f>SKU_Cost_Input!E14</f>
        <v/>
      </c>
      <c r="E49" s="18">
        <f>SKU_Cost_Input!F14</f>
        <v/>
      </c>
      <c r="F49" s="18">
        <f>SKU_Cost_Input!G14</f>
        <v/>
      </c>
    </row>
    <row r="50">
      <c r="A50" s="14" t="inlineStr">
        <is>
          <t>Power Apps per app plan (1 app or website)</t>
        </is>
      </c>
      <c r="B50" s="14">
        <f>SKU_Cost_Input!B15</f>
        <v/>
      </c>
      <c r="C50" s="18">
        <f>SKU_Cost_Input!D15</f>
        <v/>
      </c>
      <c r="D50" s="18">
        <f>SKU_Cost_Input!E15</f>
        <v/>
      </c>
      <c r="E50" s="18">
        <f>SKU_Cost_Input!F15</f>
        <v/>
      </c>
      <c r="F50" s="18">
        <f>SKU_Cost_Input!G15</f>
        <v/>
      </c>
    </row>
    <row r="51">
      <c r="A51" s="14" t="inlineStr">
        <is>
          <t>Power Automate per user plan</t>
        </is>
      </c>
      <c r="B51" s="14">
        <f>SKU_Cost_Input!B16</f>
        <v/>
      </c>
      <c r="C51" s="18">
        <f>SKU_Cost_Input!D16</f>
        <v/>
      </c>
      <c r="D51" s="18">
        <f>SKU_Cost_Input!E16</f>
        <v/>
      </c>
      <c r="E51" s="18">
        <f>SKU_Cost_Input!F16</f>
        <v/>
      </c>
      <c r="F51" s="18">
        <f>SKU_Cost_Input!G16</f>
        <v/>
      </c>
    </row>
    <row r="52"/>
    <row r="53">
      <c r="A53" s="2" t="inlineStr">
        <is>
          <t>Quantity Discrepancy: Invoice vs Admin Export</t>
        </is>
      </c>
    </row>
    <row r="54">
      <c r="A54" s="3" t="inlineStr">
        <is>
          <t>These SKUs have different quantities on the invoice vs the Admin Centre export. Rectify before finalising.</t>
        </is>
      </c>
    </row>
    <row r="55">
      <c r="A55" s="13" t="inlineStr">
        <is>
          <t>SKU</t>
        </is>
      </c>
      <c r="B55" s="13" t="inlineStr">
        <is>
          <t>Admin Users</t>
        </is>
      </c>
      <c r="C55" s="13" t="inlineStr">
        <is>
          <t>Invoice Qty</t>
        </is>
      </c>
      <c r="D55" s="13" t="inlineStr">
        <is>
          <t>Variance</t>
        </is>
      </c>
      <c r="E55" s="13" t="inlineStr">
        <is>
          <t>Impact</t>
        </is>
      </c>
      <c r="F55" s="13" t="inlineStr">
        <is>
          <t>Action Required</t>
        </is>
      </c>
    </row>
    <row r="56">
      <c r="A56" s="16" t="inlineStr">
        <is>
          <t>Microsoft 365 Business Standard</t>
        </is>
      </c>
      <c r="B56" s="16" t="n">
        <v>100</v>
      </c>
      <c r="C56" s="16" t="n">
        <v>97</v>
      </c>
      <c r="D56" s="20" t="n">
        <v>3</v>
      </c>
      <c r="E56" s="16" t="inlineStr">
        <is>
          <t>Admin has 3 more — cost per user diluted below invoiced unit price</t>
        </is>
      </c>
      <c r="F56" s="16" t="inlineStr">
        <is>
          <t>Likely added after billing date. Will appear on next invoice.</t>
        </is>
      </c>
    </row>
    <row r="57">
      <c r="A57" s="16" t="inlineStr">
        <is>
          <t>Microsoft 365 Business Premium</t>
        </is>
      </c>
      <c r="B57" s="16" t="n">
        <v>21</v>
      </c>
      <c r="C57" s="16" t="n">
        <v>23</v>
      </c>
      <c r="D57" s="20" t="n">
        <v>-2</v>
      </c>
      <c r="E57" s="16" t="inlineStr">
        <is>
          <t>Invoice bills 2 more than admin — paying for removed user(s)</t>
        </is>
      </c>
      <c r="F57" s="16" t="inlineStr">
        <is>
          <t>User(s) removed after billing. Confirm with COITE/Microsoft.</t>
        </is>
      </c>
    </row>
    <row r="58">
      <c r="A58" s="16" t="inlineStr">
        <is>
          <t>Microsoft 365 E3</t>
        </is>
      </c>
      <c r="B58" s="16" t="n">
        <v>14</v>
      </c>
      <c r="C58" s="16" t="n">
        <v>15</v>
      </c>
      <c r="D58" s="20" t="n">
        <v>-1</v>
      </c>
      <c r="E58" s="16" t="inlineStr">
        <is>
          <t>Invoice bills 1 more than admin — paying for removed user(s)</t>
        </is>
      </c>
      <c r="F58" s="16" t="inlineStr">
        <is>
          <t>User(s) removed after billing. Confirm with COITE/Microsoft.</t>
        </is>
      </c>
    </row>
    <row r="59">
      <c r="A59" s="16" t="inlineStr">
        <is>
          <t>Power BI Premium Per User</t>
        </is>
      </c>
      <c r="B59" s="16" t="n">
        <v>6</v>
      </c>
      <c r="C59" s="16" t="n">
        <v>7</v>
      </c>
      <c r="D59" s="20" t="n">
        <v>-1</v>
      </c>
      <c r="E59" s="16" t="inlineStr">
        <is>
          <t>Invoice bills 1 more than admin — paying for removed user(s)</t>
        </is>
      </c>
      <c r="F59" s="16" t="inlineStr">
        <is>
          <t>User(s) removed after billing. Confirm with COITE/Microsoft.</t>
        </is>
      </c>
    </row>
    <row r="60">
      <c r="A60" s="16" t="inlineStr">
        <is>
          <t>Power Apps per app plan (1 app or website)</t>
        </is>
      </c>
      <c r="B60" s="16" t="n">
        <v>0</v>
      </c>
      <c r="C60" s="16" t="n">
        <v>3</v>
      </c>
      <c r="D60" s="20" t="n">
        <v>-3</v>
      </c>
      <c r="E60" s="16" t="inlineStr">
        <is>
          <t>Invoice bills 3 more than admin — paying for removed user(s)</t>
        </is>
      </c>
      <c r="F60" s="16" t="inlineStr">
        <is>
          <t>User(s) removed after billing. Confirm with COITE/Microsoft.</t>
        </is>
      </c>
    </row>
    <row r="61"/>
    <row r="62"/>
    <row r="63">
      <c r="A63" s="2" t="inlineStr">
        <is>
          <t>Audit Trail &amp; Controls</t>
        </is>
      </c>
    </row>
    <row r="64">
      <c r="A64" t="inlineStr">
        <is>
          <t>All costs trace: Microsoft Invoice (Invoice_Input) → SKU line items (SKU_Cost_Input) → Licensed Users (License_Raw) → Employee Mapping (User_Match) → Allocation (Allocation_Detail)</t>
        </is>
      </c>
    </row>
    <row r="65">
      <c r="A65" t="inlineStr">
        <is>
          <t>Reconciliation: SKU excl-VAT total MUST equal invoice excl-VAT total. Any variance is flagged FAIL on Invoice_Input and above KPIs.</t>
        </is>
      </c>
    </row>
    <row r="66">
      <c r="A66" t="inlineStr">
        <is>
          <t>VAT: Applied at total level via Invoice_Input rate. Individual SKU amounts are entered EXCLUDING VAT.</t>
        </is>
      </c>
    </row>
    <row r="67">
      <c r="A67" t="inlineStr">
        <is>
          <t>Exchange Rate: If invoice is in USD, convert using the rate on Invoice_Input before entering SKU amounts in ZAR.</t>
        </is>
      </c>
    </row>
    <row r="68">
      <c r="A68" t="inlineStr">
        <is>
          <t>Proration: Model uses a snapshot of users active at invoice date. Prorated amounts should be reflected in invoice line items.</t>
        </is>
      </c>
    </row>
    <row r="69">
      <c r="A69" t="inlineStr">
        <is>
          <t>Unmatched users temporarily assigned to RS and flagged on Review_Queue for Finance confirmation.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16"/>
  <conditionalFormatting sqref="B14">
    <cfRule type="expression" priority="1" dxfId="0">
      <formula>LEFT(B14,4)="PASS"</formula>
    </cfRule>
    <cfRule type="expression" priority="2" dxfId="1">
      <formula>LEFT(B14,4)="FAIL"</formula>
    </cfRule>
  </conditionalFormatting>
  <conditionalFormatting sqref="B15">
    <cfRule type="expression" priority="3" dxfId="2">
      <formula>B15&gt;0</formula>
    </cfRule>
    <cfRule type="expression" priority="4" dxfId="0">
      <formula>B15=0</formula>
    </cfRule>
  </conditionalFormatting>
  <printOptions horizontalCentered="1"/>
  <pageMargins left="0.75" right="0.75" top="1" bottom="1" header="0.5" footer="0.5"/>
  <pageSetup orientation="landscape" paperSize="9" fitToHeight="0" fitToWidth="1"/>
  <headerFooter>
    <oddHeader>&amp;CCONFIDENTIAL - Microsoft License Allocation</oddHeader>
    <oddFooter>&amp;L&amp;D&amp;RPage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H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36" customWidth="1" min="2" max="2"/>
    <col width="20" customWidth="1" min="3" max="3"/>
    <col width="50" customWidth="1" min="4" max="4"/>
    <col width="16" customWidth="1" min="5" max="5"/>
    <col width="31" customWidth="1" min="6" max="6"/>
    <col width="50" customWidth="1" min="7" max="7"/>
    <col width="46" customWidth="1" min="8" max="8"/>
  </cols>
  <sheetData>
    <row r="1">
      <c r="A1" s="1" t="inlineStr">
        <is>
          <t>Licences Flagged for Removal / Management Review</t>
        </is>
      </c>
    </row>
    <row r="2">
      <c r="A2" s="3" t="inlineStr">
        <is>
          <t>These users are no longer employees, are contractors, or need management review. Action: remove or reassign licences.</t>
        </is>
      </c>
    </row>
    <row r="3"/>
    <row r="4">
      <c r="A4" s="13" t="inlineStr">
        <is>
          <t>Display Name</t>
        </is>
      </c>
      <c r="B4" s="13" t="inlineStr">
        <is>
          <t>Email</t>
        </is>
      </c>
      <c r="C4" s="13" t="inlineStr">
        <is>
          <t>User Status</t>
        </is>
      </c>
      <c r="D4" s="13" t="inlineStr">
        <is>
          <t>Licences Held</t>
        </is>
      </c>
      <c r="E4" s="13" t="inlineStr">
        <is>
          <t>Licence Count</t>
        </is>
      </c>
      <c r="F4" s="13" t="inlineStr">
        <is>
          <t>Est. Monthly Cost (excl VAT)</t>
        </is>
      </c>
      <c r="G4" s="13" t="inlineStr">
        <is>
          <t>Reason / Note</t>
        </is>
      </c>
      <c r="H4" s="13" t="inlineStr">
        <is>
          <t>Action Required</t>
        </is>
      </c>
    </row>
    <row r="5">
      <c r="A5" s="15" t="inlineStr">
        <is>
          <t>Adri Ludick Old</t>
        </is>
      </c>
      <c r="B5" s="15" t="inlineStr">
        <is>
          <t>Adri.ludick@WearCheckRS.com</t>
        </is>
      </c>
      <c r="C5" s="15" t="inlineStr">
        <is>
          <t>Ex-Employee</t>
        </is>
      </c>
      <c r="D5" s="15" t="inlineStr">
        <is>
          <t>Microsoft Defender for Office 365 (Plan 2)+Microsoft Power Automate Free+Microsoft 365 Business Standard</t>
        </is>
      </c>
      <c r="E5" s="15" t="n">
        <v>3</v>
      </c>
      <c r="F5" s="40">
        <f>SUMIF(Allocation_Detail!$A$2:$A$406,B5,Allocation_Detail!$L$2:$L$406)</f>
        <v/>
      </c>
      <c r="G5" s="15" t="inlineStr">
        <is>
          <t>Old account — new email A.Ludick@WearCheckRS.com is active. FLAG: Remove this licence.</t>
        </is>
      </c>
      <c r="H5" s="15" t="inlineStr">
        <is>
          <t>REMOVE LICENCE — no longer an employee</t>
        </is>
      </c>
    </row>
    <row r="6">
      <c r="A6" s="15" t="inlineStr">
        <is>
          <t>Christian Geel</t>
        </is>
      </c>
      <c r="B6" s="15" t="inlineStr">
        <is>
          <t>Christian@WearCheckRS.com</t>
        </is>
      </c>
      <c r="C6" s="15" t="inlineStr">
        <is>
          <t>Ex-Employee</t>
        </is>
      </c>
      <c r="D6" s="15" t="inlineStr">
        <is>
          <t>Microsoft Fabric (Free)+Microsoft Power Automate Free</t>
        </is>
      </c>
      <c r="E6" s="15" t="n">
        <v>2</v>
      </c>
      <c r="F6" s="40">
        <f>SUMIF(Allocation_Detail!$A$2:$A$406,B6,Allocation_Detail!$L$2:$L$406)</f>
        <v/>
      </c>
      <c r="G6" s="15" t="inlineStr">
        <is>
          <t>No longer an employee. FLAG: Remove licence.</t>
        </is>
      </c>
      <c r="H6" s="15" t="inlineStr">
        <is>
          <t>REMOVE LICENCE — no longer an employee</t>
        </is>
      </c>
    </row>
    <row r="7">
      <c r="A7" s="15" t="inlineStr">
        <is>
          <t>Gladwin Sekharume</t>
        </is>
      </c>
      <c r="B7" s="15" t="inlineStr">
        <is>
          <t>GladwinS@WearCheckRS.com</t>
        </is>
      </c>
      <c r="C7" s="15" t="inlineStr">
        <is>
          <t>Ex-Employee</t>
        </is>
      </c>
      <c r="D7" s="15" t="inlineStr">
        <is>
          <t>Microsoft Defender for Office 365 (Plan 2)+Microsoft 365 Business Standard</t>
        </is>
      </c>
      <c r="E7" s="15" t="n">
        <v>2</v>
      </c>
      <c r="F7" s="40">
        <f>SUMIF(Allocation_Detail!$A$2:$A$406,B7,Allocation_Detail!$L$2:$L$406)</f>
        <v/>
      </c>
      <c r="G7" s="15" t="inlineStr">
        <is>
          <t>No longer an employee. FLAG: Remove licence.</t>
        </is>
      </c>
      <c r="H7" s="15" t="inlineStr">
        <is>
          <t>REMOVE LICENCE — no longer an employee</t>
        </is>
      </c>
    </row>
    <row r="8">
      <c r="A8" s="15" t="inlineStr">
        <is>
          <t>Ivan Langa</t>
        </is>
      </c>
      <c r="B8" s="15" t="inlineStr">
        <is>
          <t>Ivan@WearCheckRS.com</t>
        </is>
      </c>
      <c r="C8" s="15" t="inlineStr">
        <is>
          <t>Ex-Employee</t>
        </is>
      </c>
      <c r="D8" s="15" t="inlineStr">
        <is>
          <t>Microsoft Defender for Office 365 (Plan 2)+Microsoft Fabric (Free)+Microsoft 365 Business Standard</t>
        </is>
      </c>
      <c r="E8" s="15" t="n">
        <v>3</v>
      </c>
      <c r="F8" s="40">
        <f>SUMIF(Allocation_Detail!$A$2:$A$406,B8,Allocation_Detail!$L$2:$L$406)</f>
        <v/>
      </c>
      <c r="G8" s="15" t="inlineStr">
        <is>
          <t>No longer an employee. FLAG: Remove licence.</t>
        </is>
      </c>
      <c r="H8" s="15" t="inlineStr">
        <is>
          <t>REMOVE LICENCE — no longer an employee</t>
        </is>
      </c>
    </row>
    <row r="9">
      <c r="A9" s="15" t="inlineStr">
        <is>
          <t>Kenneth Moremi</t>
        </is>
      </c>
      <c r="B9" s="15" t="inlineStr">
        <is>
          <t>kenneth@WearCheckRS.com</t>
        </is>
      </c>
      <c r="C9" s="15" t="inlineStr">
        <is>
          <t>Ex-Employee</t>
        </is>
      </c>
      <c r="D9" s="15" t="inlineStr">
        <is>
          <t>Microsoft Defender for Office 365 (Plan 2)+Microsoft 365 Business Standard</t>
        </is>
      </c>
      <c r="E9" s="15" t="n">
        <v>2</v>
      </c>
      <c r="F9" s="40">
        <f>SUMIF(Allocation_Detail!$A$2:$A$406,B9,Allocation_Detail!$L$2:$L$406)</f>
        <v/>
      </c>
      <c r="G9" s="15" t="inlineStr">
        <is>
          <t>No longer an employee. FLAG: Remove licence.</t>
        </is>
      </c>
      <c r="H9" s="15" t="inlineStr">
        <is>
          <t>REMOVE LICENCE — no longer an employee</t>
        </is>
      </c>
    </row>
    <row r="10">
      <c r="A10" s="15" t="inlineStr">
        <is>
          <t>Kevin Jonker</t>
        </is>
      </c>
      <c r="B10" s="15" t="inlineStr">
        <is>
          <t>kevinj@WearCheckRS.com</t>
        </is>
      </c>
      <c r="C10" s="15" t="inlineStr">
        <is>
          <t>Ex-Employee</t>
        </is>
      </c>
      <c r="D10" s="15" t="inlineStr">
        <is>
          <t>Microsoft Fabric (Free)+Microsoft Power Automate Free</t>
        </is>
      </c>
      <c r="E10" s="15" t="n">
        <v>2</v>
      </c>
      <c r="F10" s="40">
        <f>SUMIF(Allocation_Detail!$A$2:$A$406,B10,Allocation_Detail!$L$2:$L$406)</f>
        <v/>
      </c>
      <c r="G10" s="15" t="inlineStr">
        <is>
          <t>No longer an employee. FLAG: Remove licence.</t>
        </is>
      </c>
      <c r="H10" s="15" t="inlineStr">
        <is>
          <t>REMOVE LICENCE — no longer an employee</t>
        </is>
      </c>
    </row>
    <row r="11">
      <c r="A11" s="15" t="inlineStr">
        <is>
          <t>Mandiso Muchanga</t>
        </is>
      </c>
      <c r="B11" s="15" t="inlineStr">
        <is>
          <t>Mandiso@WearCheckRS.com</t>
        </is>
      </c>
      <c r="C11" s="15" t="inlineStr">
        <is>
          <t>Ex-Employee</t>
        </is>
      </c>
      <c r="D11" s="15" t="inlineStr">
        <is>
          <t>Microsoft Defender for Office 365 (Plan 2)+Microsoft 365 Business Standard</t>
        </is>
      </c>
      <c r="E11" s="15" t="n">
        <v>2</v>
      </c>
      <c r="F11" s="40">
        <f>SUMIF(Allocation_Detail!$A$2:$A$406,B11,Allocation_Detail!$L$2:$L$406)</f>
        <v/>
      </c>
      <c r="G11" s="15" t="inlineStr">
        <is>
          <t>No longer an employee. FLAG: Remove licence.</t>
        </is>
      </c>
      <c r="H11" s="15" t="inlineStr">
        <is>
          <t>REMOVE LICENCE — no longer an employee</t>
        </is>
      </c>
    </row>
    <row r="12">
      <c r="A12" s="15" t="inlineStr">
        <is>
          <t>Martin Prinsloo</t>
        </is>
      </c>
      <c r="B12" s="15" t="inlineStr">
        <is>
          <t>martin.prinsloo@WearCheckRS.com</t>
        </is>
      </c>
      <c r="C12" s="15" t="inlineStr">
        <is>
          <t>Ex-Employee</t>
        </is>
      </c>
      <c r="D12" s="15" t="inlineStr">
        <is>
          <t>Microsoft Fabric (Free)</t>
        </is>
      </c>
      <c r="E12" s="15" t="n">
        <v>1</v>
      </c>
      <c r="F12" s="40">
        <f>SUMIF(Allocation_Detail!$A$2:$A$406,B12,Allocation_Detail!$L$2:$L$406)</f>
        <v/>
      </c>
      <c r="G12" s="15" t="inlineStr">
        <is>
          <t>No longer an employee. FLAG: Remove licence.</t>
        </is>
      </c>
      <c r="H12" s="15" t="inlineStr">
        <is>
          <t>REMOVE LICENCE — no longer an employee</t>
        </is>
      </c>
    </row>
    <row r="13">
      <c r="A13" s="15" t="inlineStr">
        <is>
          <t>Peter</t>
        </is>
      </c>
      <c r="B13" s="15" t="inlineStr">
        <is>
          <t>Peter@WearCheckRS.com</t>
        </is>
      </c>
      <c r="C13" s="15" t="inlineStr">
        <is>
          <t>Ex-Employee</t>
        </is>
      </c>
      <c r="D13" s="15" t="inlineStr">
        <is>
          <t>Microsoft 365 Business Standard</t>
        </is>
      </c>
      <c r="E13" s="15" t="n">
        <v>1</v>
      </c>
      <c r="F13" s="40">
        <f>SUMIF(Allocation_Detail!$A$2:$A$406,B13,Allocation_Detail!$L$2:$L$406)</f>
        <v/>
      </c>
      <c r="G13" s="15" t="inlineStr">
        <is>
          <t>No longer an employee. FLAG: Remove licence.</t>
        </is>
      </c>
      <c r="H13" s="15" t="inlineStr">
        <is>
          <t>REMOVE LICENCE — no longer an employee</t>
        </is>
      </c>
    </row>
    <row r="14">
      <c r="A14" s="15" t="inlineStr">
        <is>
          <t>Thabang Mathumba</t>
        </is>
      </c>
      <c r="B14" s="15" t="inlineStr">
        <is>
          <t>thabang@WearCheckRS.com</t>
        </is>
      </c>
      <c r="C14" s="15" t="inlineStr">
        <is>
          <t>Ex-Employee</t>
        </is>
      </c>
      <c r="D14" s="15" t="inlineStr">
        <is>
          <t>Microsoft Defender for Office 365 (Plan 2)+Microsoft 365 Business Standard</t>
        </is>
      </c>
      <c r="E14" s="15" t="n">
        <v>2</v>
      </c>
      <c r="F14" s="40">
        <f>SUMIF(Allocation_Detail!$A$2:$A$406,B14,Allocation_Detail!$L$2:$L$406)</f>
        <v/>
      </c>
      <c r="G14" s="15" t="inlineStr">
        <is>
          <t>No longer an employee. FLAG: Remove licence.</t>
        </is>
      </c>
      <c r="H14" s="15" t="inlineStr">
        <is>
          <t>REMOVE LICENCE — no longer an employee</t>
        </is>
      </c>
    </row>
    <row r="15">
      <c r="A15" s="15" t="inlineStr">
        <is>
          <t>Tumelo</t>
        </is>
      </c>
      <c r="B15" s="15" t="inlineStr">
        <is>
          <t>tumelo.samancor@WearCheckRS.com</t>
        </is>
      </c>
      <c r="C15" s="15" t="inlineStr">
        <is>
          <t>Ex-Employee</t>
        </is>
      </c>
      <c r="D15" s="15" t="inlineStr">
        <is>
          <t>Microsoft Fabric (Free)</t>
        </is>
      </c>
      <c r="E15" s="15" t="n">
        <v>1</v>
      </c>
      <c r="F15" s="40">
        <f>SUMIF(Allocation_Detail!$A$2:$A$406,B15,Allocation_Detail!$L$2:$L$406)</f>
        <v/>
      </c>
      <c r="G15" s="15" t="inlineStr">
        <is>
          <t>No longer an employee. FLAG: Remove licence.</t>
        </is>
      </c>
      <c r="H15" s="15" t="inlineStr">
        <is>
          <t>REMOVE LICENCE — no longer an employee</t>
        </is>
      </c>
    </row>
    <row r="16">
      <c r="A16" s="16" t="inlineStr">
        <is>
          <t>Lea Bodenstein</t>
        </is>
      </c>
      <c r="B16" s="16" t="inlineStr">
        <is>
          <t>Lea@WearCheckRS.com</t>
        </is>
      </c>
      <c r="C16" s="16" t="inlineStr">
        <is>
          <t>Contractor</t>
        </is>
      </c>
      <c r="D16" s="16" t="inlineStr">
        <is>
          <t>Microsoft 365 Business Premium+Microsoft Defender for Office 365 (Plan 2)+Microsoft Fabric (Free)</t>
        </is>
      </c>
      <c r="E16" s="16" t="n">
        <v>3</v>
      </c>
      <c r="F16" s="41">
        <f>SUMIF(Allocation_Detail!$A$2:$A$406,B16,Allocation_Detail!$L$2:$L$406)</f>
        <v/>
      </c>
      <c r="G16" s="16" t="inlineStr">
        <is>
          <t>Not an employee — contractor. Licence allocated to RS.</t>
        </is>
      </c>
      <c r="H16" s="16" t="inlineStr">
        <is>
          <t>Review: keep licence or remove (contractor)</t>
        </is>
      </c>
    </row>
    <row r="17">
      <c r="A17" s="16" t="inlineStr">
        <is>
          <t>Marthinus Steenkamp</t>
        </is>
      </c>
      <c r="B17" s="16" t="inlineStr">
        <is>
          <t>Marthinus@WearCheckRS.com</t>
        </is>
      </c>
      <c r="C17" s="16" t="inlineStr">
        <is>
          <t>Contractor</t>
        </is>
      </c>
      <c r="D17" s="16" t="inlineStr">
        <is>
          <t>Microsoft Defender for Office 365 (Plan 2)+Microsoft 365 E3+Microsoft Fabric (Free)</t>
        </is>
      </c>
      <c r="E17" s="16" t="n">
        <v>3</v>
      </c>
      <c r="F17" s="41">
        <f>SUMIF(Allocation_Detail!$A$2:$A$406,B17,Allocation_Detail!$L$2:$L$406)</f>
        <v/>
      </c>
      <c r="G17" s="16" t="inlineStr">
        <is>
          <t>Not an employee — contractor. Licence allocated to RS.</t>
        </is>
      </c>
      <c r="H17" s="16" t="inlineStr">
        <is>
          <t>Review: keep licence or remove (contractor)</t>
        </is>
      </c>
    </row>
    <row r="18">
      <c r="A18" s="16" t="inlineStr">
        <is>
          <t>Nicolien Schutte</t>
        </is>
      </c>
      <c r="B18" s="16" t="inlineStr">
        <is>
          <t>Nicoliens@WearCheckRS.com</t>
        </is>
      </c>
      <c r="C18" s="16" t="inlineStr">
        <is>
          <t>Contractor</t>
        </is>
      </c>
      <c r="D18" s="16" t="inlineStr">
        <is>
          <t>Microsoft Defender for Office 365 (Plan 2)+Power BI Premium Per User+Microsoft 365 E3+Microsoft Fabric (Free)+Microsoft Power Automate Free</t>
        </is>
      </c>
      <c r="E18" s="16" t="n">
        <v>5</v>
      </c>
      <c r="F18" s="41">
        <f>SUMIF(Allocation_Detail!$A$2:$A$406,B18,Allocation_Detail!$L$2:$L$406)</f>
        <v/>
      </c>
      <c r="G18" s="16" t="inlineStr">
        <is>
          <t>Not an employee — contractor. Licence allocated to RS.</t>
        </is>
      </c>
      <c r="H18" s="16" t="inlineStr">
        <is>
          <t>Review: keep licence or remove (contractor)</t>
        </is>
      </c>
    </row>
    <row r="19">
      <c r="A19" s="16" t="inlineStr">
        <is>
          <t>Christie</t>
        </is>
      </c>
      <c r="B19" s="16" t="inlineStr">
        <is>
          <t>christie.samancor@WearCheckRS.com</t>
        </is>
      </c>
      <c r="C19" s="16" t="inlineStr">
        <is>
          <t>Management Review</t>
        </is>
      </c>
      <c r="D19" s="16" t="inlineStr">
        <is>
          <t>Microsoft Fabric (Free)</t>
        </is>
      </c>
      <c r="E19" s="16" t="n">
        <v>1</v>
      </c>
      <c r="F19" s="41">
        <f>SUMIF(Allocation_Detail!$A$2:$A$406,B19,Allocation_Detail!$L$2:$L$406)</f>
        <v/>
      </c>
      <c r="G19" s="16" t="inlineStr">
        <is>
          <t>Not an employee — has free Fabric licence only. Flagged for management review.</t>
        </is>
      </c>
      <c r="H19" s="16" t="inlineStr">
        <is>
          <t>Escalate to management for decision</t>
        </is>
      </c>
    </row>
    <row r="20"/>
    <row r="21">
      <c r="A21" s="2" t="inlineStr">
        <is>
          <t>Summary</t>
        </is>
      </c>
    </row>
    <row r="22">
      <c r="A22" s="42" t="inlineStr">
        <is>
          <t>Ex-Employees (remove licence)</t>
        </is>
      </c>
      <c r="B22" s="43" t="n">
        <v>11</v>
      </c>
    </row>
    <row r="23">
      <c r="A23" s="44" t="inlineStr">
        <is>
          <t>Contractors (review)</t>
        </is>
      </c>
      <c r="B23" s="45" t="n">
        <v>3</v>
      </c>
    </row>
    <row r="24">
      <c r="A24" s="44" t="inlineStr">
        <is>
          <t>Management Review</t>
        </is>
      </c>
      <c r="B24" s="45" t="n">
        <v>1</v>
      </c>
    </row>
    <row r="25">
      <c r="A25" s="37" t="inlineStr">
        <is>
          <t>Total flagged accounts</t>
        </is>
      </c>
      <c r="B25" s="34" t="n">
        <v>15</v>
      </c>
    </row>
    <row r="26"/>
    <row r="27">
      <c r="A27" s="46" t="inlineStr">
        <is>
          <t>Potential Monthly Savings (excl VAT)</t>
        </is>
      </c>
      <c r="B27" s="47">
        <f>SUM(F5:F19)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16"/>
  <autoFilter ref="A4:H2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FFC000"/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0" customWidth="1" min="3" max="3"/>
    <col width="24" customWidth="1" min="4" max="4"/>
    <col width="27" customWidth="1" min="5" max="5"/>
    <col width="18" customWidth="1" min="6" max="6"/>
    <col width="13" customWidth="1" min="7" max="7"/>
    <col width="20" customWidth="1" min="8" max="8"/>
    <col width="20" customWidth="1" min="9" max="9"/>
    <col width="50" customWidth="1" min="10" max="10"/>
    <col width="26" customWidth="1" min="11" max="11"/>
    <col width="40" customWidth="1" min="12" max="12"/>
  </cols>
  <sheetData>
    <row r="1">
      <c r="A1" s="13" t="inlineStr">
        <is>
          <t>Licensed Display Name</t>
        </is>
      </c>
      <c r="B1" s="13" t="inlineStr">
        <is>
          <t>Licensed Email</t>
        </is>
      </c>
      <c r="C1" s="13" t="inlineStr">
        <is>
          <t>Assigned Division</t>
        </is>
      </c>
      <c r="D1" s="13" t="inlineStr">
        <is>
          <t>Matched Employee Name</t>
        </is>
      </c>
      <c r="E1" s="13" t="inlineStr">
        <is>
          <t>Candidate Employee Email</t>
        </is>
      </c>
      <c r="F1" s="13" t="inlineStr">
        <is>
          <t>Employee Number</t>
        </is>
      </c>
      <c r="G1" s="13" t="inlineStr">
        <is>
          <t>Confidence</t>
        </is>
      </c>
      <c r="H1" s="13" t="inlineStr">
        <is>
          <t>Review Type</t>
        </is>
      </c>
      <c r="I1" s="13" t="inlineStr">
        <is>
          <t>User Status</t>
        </is>
      </c>
      <c r="J1" s="13" t="inlineStr">
        <is>
          <t>Mapping Note</t>
        </is>
      </c>
      <c r="K1" s="13" t="inlineStr">
        <is>
          <t>Licenses Raw</t>
        </is>
      </c>
      <c r="L1" s="13" t="inlineStr">
        <is>
          <t>Action Required</t>
        </is>
      </c>
    </row>
    <row r="2">
      <c r="A2" s="16" t="inlineStr">
        <is>
          <t>Christie</t>
        </is>
      </c>
      <c r="B2" s="16" t="inlineStr">
        <is>
          <t>christie.samancor@WearCheckRS.com</t>
        </is>
      </c>
      <c r="C2" s="16" t="inlineStr">
        <is>
          <t>RS</t>
        </is>
      </c>
      <c r="D2" s="16" t="inlineStr"/>
      <c r="E2" s="16" t="inlineStr"/>
      <c r="F2" s="16" t="inlineStr"/>
      <c r="G2" s="16" t="inlineStr">
        <is>
          <t>Low</t>
        </is>
      </c>
      <c r="H2" s="16" t="inlineStr">
        <is>
          <t>Management Review</t>
        </is>
      </c>
      <c r="I2" s="16" t="inlineStr">
        <is>
          <t>Management Review</t>
        </is>
      </c>
      <c r="J2" s="16" t="inlineStr">
        <is>
          <t>Not an employee — has free Fabric licence only. Flagged for management review.</t>
        </is>
      </c>
      <c r="K2" s="16" t="inlineStr">
        <is>
          <t>Microsoft Fabric (Free)</t>
        </is>
      </c>
      <c r="L2" s="16" t="inlineStr">
        <is>
          <t>Confirm division or update User_Match</t>
        </is>
      </c>
    </row>
    <row r="5">
      <c r="A5" s="28" t="inlineStr">
        <is>
          <t>DUPLICATE ACCOUNTS DETECTED</t>
        </is>
      </c>
    </row>
    <row r="6">
      <c r="A6" s="3" t="inlineStr">
        <is>
          <t>The following employees have multiple licensed email accounts. Consider consolidating.</t>
        </is>
      </c>
    </row>
    <row r="7">
      <c r="A7" s="13" t="inlineStr">
        <is>
          <t>Employee Number</t>
        </is>
      </c>
      <c r="B7" s="13" t="inlineStr">
        <is>
          <t>Employee Name</t>
        </is>
      </c>
      <c r="C7" s="13" t="inlineStr">
        <is>
          <t>Email 1</t>
        </is>
      </c>
      <c r="D7" s="13" t="inlineStr">
        <is>
          <t>Email 2</t>
        </is>
      </c>
      <c r="E7" s="13" t="inlineStr">
        <is>
          <t>Email 3</t>
        </is>
      </c>
      <c r="F7" s="13" t="inlineStr">
        <is>
          <t>Action</t>
        </is>
      </c>
    </row>
    <row r="8">
      <c r="A8" s="16" t="inlineStr">
        <is>
          <t>WC277</t>
        </is>
      </c>
      <c r="B8" s="16" t="inlineStr">
        <is>
          <t>Louis Robert Peacock</t>
        </is>
      </c>
      <c r="C8" s="16" t="inlineStr">
        <is>
          <t>louis@WearCheckRS.com</t>
        </is>
      </c>
      <c r="D8" s="16" t="inlineStr">
        <is>
          <t>Louis_Zoho@WearCheckRS.com</t>
        </is>
      </c>
      <c r="E8" s="16" t="n"/>
      <c r="F8" s="16" t="inlineStr">
        <is>
          <t>Review: consolidate to single account</t>
        </is>
      </c>
    </row>
    <row r="9">
      <c r="A9" s="16" t="inlineStr">
        <is>
          <t>WC253</t>
        </is>
      </c>
      <c r="B9" s="16" t="inlineStr">
        <is>
          <t>Philippus Jacobus Wilhelmus (Philip) Schutte</t>
        </is>
      </c>
      <c r="C9" s="16" t="inlineStr">
        <is>
          <t>philip@WearCheckRS.com</t>
        </is>
      </c>
      <c r="D9" s="16" t="inlineStr">
        <is>
          <t>Philip_Zoho@WearCheckRS.com</t>
        </is>
      </c>
      <c r="E9" s="16" t="n"/>
      <c r="F9" s="16" t="inlineStr">
        <is>
          <t>Review: consolidate to single account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16"/>
  <autoFilter ref="A1:L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4472C4"/>
    <outlinePr summaryBelow="1" summaryRight="1"/>
    <pageSetUpPr/>
  </sheetPr>
  <dimension ref="A1:K18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30" customWidth="1" min="3" max="3"/>
    <col width="21" customWidth="1" min="4" max="4"/>
    <col width="34" customWidth="1" min="5" max="5"/>
    <col width="40" customWidth="1" min="6" max="6"/>
    <col width="21" customWidth="1" min="7" max="7"/>
    <col width="38" customWidth="1" min="8" max="8"/>
  </cols>
  <sheetData>
    <row r="1">
      <c r="A1" s="1" t="inlineStr">
        <is>
          <t>Microsoft Admin Centre Export — Snapshot 30 March 2026</t>
        </is>
      </c>
    </row>
    <row r="2">
      <c r="A2" s="3" t="inlineStr">
        <is>
          <t>Source: users_2026_03_30 11_05_42.csv | 842 total accounts | 147 licensed | 641 unlicensed | 54 soft-deleted</t>
        </is>
      </c>
    </row>
    <row r="3"/>
    <row r="4">
      <c r="A4" s="13" t="inlineStr">
        <is>
          <t>Display Name</t>
        </is>
      </c>
      <c r="B4" s="13" t="inlineStr">
        <is>
          <t>User Principal Name</t>
        </is>
      </c>
      <c r="C4" s="13" t="inlineStr">
        <is>
          <t>First Name</t>
        </is>
      </c>
      <c r="D4" s="13" t="inlineStr">
        <is>
          <t>Last Name</t>
        </is>
      </c>
      <c r="E4" s="13" t="inlineStr">
        <is>
          <t>Department</t>
        </is>
      </c>
      <c r="F4" s="13" t="inlineStr">
        <is>
          <t>Title</t>
        </is>
      </c>
      <c r="G4" s="13" t="inlineStr">
        <is>
          <t>Usage Location</t>
        </is>
      </c>
      <c r="H4" s="13" t="inlineStr">
        <is>
          <t>Created</t>
        </is>
      </c>
      <c r="I4" s="13" t="inlineStr">
        <is>
          <t>Blocked</t>
        </is>
      </c>
      <c r="J4" s="13" t="inlineStr">
        <is>
          <t>Licences</t>
        </is>
      </c>
      <c r="K4" s="13" t="inlineStr">
        <is>
          <t>SKU Count</t>
        </is>
      </c>
    </row>
    <row r="5">
      <c r="A5" s="14" t="inlineStr">
        <is>
          <t>Admin</t>
        </is>
      </c>
      <c r="B5" s="14" t="inlineStr">
        <is>
          <t>admin@WearCheckRS.com</t>
        </is>
      </c>
      <c r="C5" s="14" t="inlineStr">
        <is>
          <t>EDWARD FREDERICK</t>
        </is>
      </c>
      <c r="D5" s="14" t="inlineStr">
        <is>
          <t>PIETERSE</t>
        </is>
      </c>
      <c r="E5" s="14" t="inlineStr"/>
      <c r="F5" s="14" t="inlineStr"/>
      <c r="G5" s="14" t="inlineStr">
        <is>
          <t>ZA</t>
        </is>
      </c>
      <c r="H5" s="14" t="inlineStr">
        <is>
          <t>2022-04-19 13:21:34Z</t>
        </is>
      </c>
      <c r="I5" s="14" t="inlineStr">
        <is>
          <t>No</t>
        </is>
      </c>
      <c r="J5" s="14" t="inlineStr">
        <is>
          <t>Microsoft Defender for Office 365 (Plan 2)+Microsoft Fabric (Free)+Microsoft 365 E3</t>
        </is>
      </c>
      <c r="K5" s="14" t="n">
        <v>3</v>
      </c>
    </row>
    <row r="6">
      <c r="A6" s="14" t="inlineStr">
        <is>
          <t>Adri Ludick</t>
        </is>
      </c>
      <c r="B6" s="14" t="inlineStr">
        <is>
          <t>A.Ludick@WearCheckRS.com</t>
        </is>
      </c>
      <c r="C6" s="14" t="inlineStr">
        <is>
          <t>Adri</t>
        </is>
      </c>
      <c r="D6" s="14" t="inlineStr">
        <is>
          <t>Ludick</t>
        </is>
      </c>
      <c r="E6" s="14" t="inlineStr">
        <is>
          <t>ARC - AFS</t>
        </is>
      </c>
      <c r="F6" s="14" t="inlineStr">
        <is>
          <t>Manager</t>
        </is>
      </c>
      <c r="G6" s="14" t="inlineStr">
        <is>
          <t>ZA</t>
        </is>
      </c>
      <c r="H6" s="14" t="inlineStr">
        <is>
          <t>2024-02-23 10:26:05Z</t>
        </is>
      </c>
      <c r="I6" s="14" t="inlineStr">
        <is>
          <t>No</t>
        </is>
      </c>
      <c r="J6" s="14" t="inlineStr">
        <is>
          <t>Microsoft 365 Business Premium+Microsoft Copilot Studio Viral Trial+Microsoft Defender for Office 365 (Plan 2)+Microsoft Power Automate Free</t>
        </is>
      </c>
      <c r="K6" s="14" t="n">
        <v>4</v>
      </c>
    </row>
    <row r="7">
      <c r="A7" s="14" t="inlineStr">
        <is>
          <t>Adri Ludick Old</t>
        </is>
      </c>
      <c r="B7" s="14" t="inlineStr">
        <is>
          <t>Adri.ludick@WearCheckRS.com</t>
        </is>
      </c>
      <c r="C7" s="14" t="inlineStr">
        <is>
          <t>Adri Old</t>
        </is>
      </c>
      <c r="D7" s="14" t="inlineStr">
        <is>
          <t>Ludick</t>
        </is>
      </c>
      <c r="E7" s="14" t="inlineStr"/>
      <c r="F7" s="14" t="inlineStr"/>
      <c r="G7" s="14" t="inlineStr">
        <is>
          <t>ZA</t>
        </is>
      </c>
      <c r="H7" s="14" t="inlineStr">
        <is>
          <t>2021-12-02 10:20:18Z</t>
        </is>
      </c>
      <c r="I7" s="14" t="inlineStr">
        <is>
          <t>No</t>
        </is>
      </c>
      <c r="J7" s="14" t="inlineStr">
        <is>
          <t>Microsoft Defender for Office 365 (Plan 2)+Microsoft Power Automate Free+Microsoft 365 Business Standard</t>
        </is>
      </c>
      <c r="K7" s="14" t="n">
        <v>3</v>
      </c>
    </row>
    <row r="8">
      <c r="A8" s="14" t="inlineStr">
        <is>
          <t>Adriaan Bouwer</t>
        </is>
      </c>
      <c r="B8" s="14" t="inlineStr">
        <is>
          <t>adriaanb@WearCheckRS.com</t>
        </is>
      </c>
      <c r="C8" s="14" t="inlineStr">
        <is>
          <t>Adriaan</t>
        </is>
      </c>
      <c r="D8" s="14" t="inlineStr">
        <is>
          <t>Bouwer</t>
        </is>
      </c>
      <c r="E8" s="14" t="inlineStr"/>
      <c r="F8" s="14" t="inlineStr">
        <is>
          <t>Sales Rep</t>
        </is>
      </c>
      <c r="G8" s="14" t="inlineStr">
        <is>
          <t>ZA</t>
        </is>
      </c>
      <c r="H8" s="14" t="inlineStr">
        <is>
          <t>2022-05-16 09:32:22Z</t>
        </is>
      </c>
      <c r="I8" s="14" t="inlineStr">
        <is>
          <t>No</t>
        </is>
      </c>
      <c r="J8" s="14" t="inlineStr">
        <is>
          <t>Microsoft Defender for Office 365 (Plan 2)+Microsoft Power Automate Free+Microsoft 365 Business Standard+Microsoft Fabric (Free)</t>
        </is>
      </c>
      <c r="K8" s="14" t="n">
        <v>4</v>
      </c>
    </row>
    <row r="9">
      <c r="A9" s="14" t="inlineStr">
        <is>
          <t>AFS Application</t>
        </is>
      </c>
      <c r="B9" s="14" t="inlineStr">
        <is>
          <t>afs_app@WearCheckRS.com</t>
        </is>
      </c>
      <c r="C9" s="14" t="inlineStr">
        <is>
          <t>AFS</t>
        </is>
      </c>
      <c r="D9" s="14" t="inlineStr">
        <is>
          <t>Application</t>
        </is>
      </c>
      <c r="E9" s="14" t="inlineStr"/>
      <c r="F9" s="14" t="inlineStr"/>
      <c r="G9" s="14" t="inlineStr">
        <is>
          <t>ZA</t>
        </is>
      </c>
      <c r="H9" s="14" t="inlineStr">
        <is>
          <t>2025-09-18 14:02:45Z</t>
        </is>
      </c>
      <c r="I9" s="14" t="inlineStr">
        <is>
          <t>No</t>
        </is>
      </c>
      <c r="J9" s="14" t="inlineStr">
        <is>
          <t>Microsoft Power Automate Free+Exchange Online (Plan 1)</t>
        </is>
      </c>
      <c r="K9" s="14" t="n">
        <v>2</v>
      </c>
    </row>
    <row r="10">
      <c r="A10" s="14" t="inlineStr">
        <is>
          <t>Alex Outram</t>
        </is>
      </c>
      <c r="B10" s="14" t="inlineStr">
        <is>
          <t>Alex@WearCheckRS.com</t>
        </is>
      </c>
      <c r="C10" s="14" t="inlineStr">
        <is>
          <t>Alex</t>
        </is>
      </c>
      <c r="D10" s="14" t="inlineStr">
        <is>
          <t>Outram</t>
        </is>
      </c>
      <c r="E10" s="14" t="inlineStr"/>
      <c r="F10" s="14" t="inlineStr"/>
      <c r="G10" s="14" t="inlineStr">
        <is>
          <t>ZA</t>
        </is>
      </c>
      <c r="H10" s="14" t="inlineStr">
        <is>
          <t>2022-03-14 20:53:59Z</t>
        </is>
      </c>
      <c r="I10" s="14" t="inlineStr">
        <is>
          <t>No</t>
        </is>
      </c>
      <c r="J10" s="14" t="inlineStr">
        <is>
          <t>Microsoft Defender for Office 365 (Plan 2)+Microsoft Power Automate Free+Microsoft Fabric (Free)+Microsoft 365 Business Standard</t>
        </is>
      </c>
      <c r="K10" s="14" t="n">
        <v>4</v>
      </c>
    </row>
    <row r="11">
      <c r="A11" s="14" t="inlineStr">
        <is>
          <t>Allan Stuurman</t>
        </is>
      </c>
      <c r="B11" s="14" t="inlineStr">
        <is>
          <t>Allan@WearCheckRS.com</t>
        </is>
      </c>
      <c r="C11" s="14" t="inlineStr">
        <is>
          <t>Allan</t>
        </is>
      </c>
      <c r="D11" s="14" t="inlineStr">
        <is>
          <t>Stuurman</t>
        </is>
      </c>
      <c r="E11" s="14" t="inlineStr"/>
      <c r="F11" s="14" t="inlineStr"/>
      <c r="G11" s="14" t="inlineStr">
        <is>
          <t>ZA</t>
        </is>
      </c>
      <c r="H11" s="14" t="inlineStr">
        <is>
          <t>2024-02-04 21:45:08Z</t>
        </is>
      </c>
      <c r="I11" s="14" t="inlineStr">
        <is>
          <t>No</t>
        </is>
      </c>
      <c r="J11" s="14" t="inlineStr">
        <is>
          <t>Microsoft Defender for Office 365 (Plan 2)+Microsoft 365 Business Standard</t>
        </is>
      </c>
      <c r="K11" s="14" t="n">
        <v>2</v>
      </c>
    </row>
    <row r="12">
      <c r="A12" s="14" t="inlineStr">
        <is>
          <t>Andrew Robb</t>
        </is>
      </c>
      <c r="B12" s="14" t="inlineStr">
        <is>
          <t>Andrew@wearcheckrs.com</t>
        </is>
      </c>
      <c r="C12" s="14" t="inlineStr">
        <is>
          <t>Andrew</t>
        </is>
      </c>
      <c r="D12" s="14" t="inlineStr">
        <is>
          <t>Robb</t>
        </is>
      </c>
      <c r="E12" s="14" t="inlineStr">
        <is>
          <t>RS</t>
        </is>
      </c>
      <c r="F12" s="14" t="inlineStr"/>
      <c r="G12" s="14" t="inlineStr">
        <is>
          <t>ZA</t>
        </is>
      </c>
      <c r="H12" s="14" t="inlineStr">
        <is>
          <t>2021-10-18 07:01:23Z</t>
        </is>
      </c>
      <c r="I12" s="14" t="inlineStr">
        <is>
          <t>No</t>
        </is>
      </c>
      <c r="J12" s="14" t="inlineStr">
        <is>
          <t>Microsoft 365 Business Premium+Microsoft Defender for Office 365 (Plan 2)+Microsoft Fabric (Free)</t>
        </is>
      </c>
      <c r="K12" s="14" t="n">
        <v>3</v>
      </c>
    </row>
    <row r="13">
      <c r="A13" s="14" t="inlineStr">
        <is>
          <t>Annah Modutwane</t>
        </is>
      </c>
      <c r="B13" s="14" t="inlineStr">
        <is>
          <t>annahm@WearCheckRS.com</t>
        </is>
      </c>
      <c r="C13" s="14" t="inlineStr">
        <is>
          <t>Annah</t>
        </is>
      </c>
      <c r="D13" s="14" t="inlineStr">
        <is>
          <t>Modutwane</t>
        </is>
      </c>
      <c r="E13" s="14" t="inlineStr"/>
      <c r="F13" s="14" t="inlineStr"/>
      <c r="G13" s="14" t="inlineStr">
        <is>
          <t>ZA</t>
        </is>
      </c>
      <c r="H13" s="14" t="inlineStr">
        <is>
          <t>2022-08-31 11:37:36Z</t>
        </is>
      </c>
      <c r="I13" s="14" t="inlineStr">
        <is>
          <t>No</t>
        </is>
      </c>
      <c r="J13" s="14" t="inlineStr">
        <is>
          <t>Microsoft Defender for Office 365 (Plan 2)+Microsoft Power Automate Free+Microsoft Fabric (Free)+Microsoft 365 Business Standard</t>
        </is>
      </c>
      <c r="K13" s="14" t="n">
        <v>4</v>
      </c>
    </row>
    <row r="14">
      <c r="A14" s="14" t="inlineStr">
        <is>
          <t>Annemie Willer</t>
        </is>
      </c>
      <c r="B14" s="14" t="inlineStr">
        <is>
          <t>annemie@WearCheckRS.com</t>
        </is>
      </c>
      <c r="C14" s="14" t="inlineStr">
        <is>
          <t>Annemie</t>
        </is>
      </c>
      <c r="D14" s="14" t="inlineStr">
        <is>
          <t>Willer</t>
        </is>
      </c>
      <c r="E14" s="14" t="inlineStr">
        <is>
          <t>Reliability Solutions</t>
        </is>
      </c>
      <c r="F14" s="14" t="inlineStr">
        <is>
          <t>Operations Manager</t>
        </is>
      </c>
      <c r="G14" s="14" t="inlineStr">
        <is>
          <t>ZA</t>
        </is>
      </c>
      <c r="H14" s="14" t="inlineStr">
        <is>
          <t>2018-06-27 17:29:12Z</t>
        </is>
      </c>
      <c r="I14" s="14" t="inlineStr">
        <is>
          <t>No</t>
        </is>
      </c>
      <c r="J14" s="14" t="inlineStr">
        <is>
          <t>Microsoft Defender for Office 365 (Plan 2)+Power BI Premium Per User+Microsoft Copilot Studio Viral Trial+Microsoft Power Apps Plan 2 Trial+Microsoft 365 E3+Microsoft Fabric (Free)+Microsoft Power Automate Free</t>
        </is>
      </c>
      <c r="K14" s="14" t="n">
        <v>7</v>
      </c>
    </row>
    <row r="15">
      <c r="A15" s="14" t="inlineStr">
        <is>
          <t>Antonio Ehrke</t>
        </is>
      </c>
      <c r="B15" s="14" t="inlineStr">
        <is>
          <t>Antonio.Ehrke@WearCheckRS.com</t>
        </is>
      </c>
      <c r="C15" s="14" t="inlineStr">
        <is>
          <t>Antonio</t>
        </is>
      </c>
      <c r="D15" s="14" t="inlineStr">
        <is>
          <t>Ehrke</t>
        </is>
      </c>
      <c r="E15" s="14" t="inlineStr"/>
      <c r="F15" s="14" t="inlineStr"/>
      <c r="G15" s="14" t="inlineStr">
        <is>
          <t>ZA</t>
        </is>
      </c>
      <c r="H15" s="14" t="inlineStr">
        <is>
          <t>2025-02-20 16:41:33Z</t>
        </is>
      </c>
      <c r="I15" s="14" t="inlineStr">
        <is>
          <t>No</t>
        </is>
      </c>
      <c r="J15" s="14" t="inlineStr">
        <is>
          <t>Microsoft Defender for Office 365 (Plan 2)+Microsoft 365 Business Standard</t>
        </is>
      </c>
      <c r="K15" s="14" t="n">
        <v>2</v>
      </c>
    </row>
    <row r="16">
      <c r="A16" s="14" t="inlineStr">
        <is>
          <t>Armindo Mucacho</t>
        </is>
      </c>
      <c r="B16" s="14" t="inlineStr">
        <is>
          <t>Armindo@WearCheckRS.com</t>
        </is>
      </c>
      <c r="C16" s="14" t="inlineStr">
        <is>
          <t>Armindo</t>
        </is>
      </c>
      <c r="D16" s="14" t="inlineStr">
        <is>
          <t>Mucacho</t>
        </is>
      </c>
      <c r="E16" s="14" t="inlineStr">
        <is>
          <t>RS</t>
        </is>
      </c>
      <c r="F16" s="14" t="inlineStr">
        <is>
          <t>Site Supervisor</t>
        </is>
      </c>
      <c r="G16" s="14" t="inlineStr">
        <is>
          <t>ZA</t>
        </is>
      </c>
      <c r="H16" s="14" t="inlineStr">
        <is>
          <t>2021-11-30 14:30:48Z</t>
        </is>
      </c>
      <c r="I16" s="14" t="inlineStr">
        <is>
          <t>No</t>
        </is>
      </c>
      <c r="J16" s="14" t="inlineStr">
        <is>
          <t>Microsoft Defender for Office 365 (Plan 2)+Microsoft Fabric (Free)+Microsoft 365 Business Standard</t>
        </is>
      </c>
      <c r="K16" s="14" t="n">
        <v>3</v>
      </c>
    </row>
    <row r="17">
      <c r="A17" s="14" t="inlineStr">
        <is>
          <t>Arnold van Zyl</t>
        </is>
      </c>
      <c r="B17" s="14" t="inlineStr">
        <is>
          <t>Arnold@WearCheckRS.com</t>
        </is>
      </c>
      <c r="C17" s="14" t="inlineStr">
        <is>
          <t>Arnold</t>
        </is>
      </c>
      <c r="D17" s="14" t="inlineStr">
        <is>
          <t>van Zyl</t>
        </is>
      </c>
      <c r="E17" s="14" t="inlineStr"/>
      <c r="F17" s="14" t="inlineStr"/>
      <c r="G17" s="14" t="inlineStr">
        <is>
          <t>ZA</t>
        </is>
      </c>
      <c r="H17" s="14" t="inlineStr">
        <is>
          <t>2025-02-20 16:47:14Z</t>
        </is>
      </c>
      <c r="I17" s="14" t="inlineStr">
        <is>
          <t>No</t>
        </is>
      </c>
      <c r="J17" s="14" t="inlineStr">
        <is>
          <t>Microsoft Defender for Office 365 (Plan 2)+Microsoft 365 Business Standard</t>
        </is>
      </c>
      <c r="K17" s="14" t="n">
        <v>2</v>
      </c>
    </row>
    <row r="18">
      <c r="A18" s="14" t="inlineStr">
        <is>
          <t>Aubrey Tshabalala</t>
        </is>
      </c>
      <c r="B18" s="14" t="inlineStr">
        <is>
          <t>Aubrey@WearCheckRS.com</t>
        </is>
      </c>
      <c r="C18" s="14" t="inlineStr">
        <is>
          <t>Aubrey</t>
        </is>
      </c>
      <c r="D18" s="14" t="inlineStr">
        <is>
          <t>Tshabalala</t>
        </is>
      </c>
      <c r="E18" s="14" t="inlineStr"/>
      <c r="F18" s="14" t="inlineStr"/>
      <c r="G18" s="14" t="inlineStr">
        <is>
          <t>ZA</t>
        </is>
      </c>
      <c r="H18" s="14" t="inlineStr">
        <is>
          <t>2024-07-04 08:52:32Z</t>
        </is>
      </c>
      <c r="I18" s="14" t="inlineStr">
        <is>
          <t>No</t>
        </is>
      </c>
      <c r="J18" s="14" t="inlineStr">
        <is>
          <t>Microsoft Defender for Office 365 (Plan 2)+Microsoft 365 Business Standard</t>
        </is>
      </c>
      <c r="K18" s="14" t="n">
        <v>2</v>
      </c>
    </row>
    <row r="19">
      <c r="A19" s="14" t="inlineStr">
        <is>
          <t>Bernard Lopi Molangoane</t>
        </is>
      </c>
      <c r="B19" s="14" t="inlineStr">
        <is>
          <t>lopi@WearCheckRS.com</t>
        </is>
      </c>
      <c r="C19" s="14" t="inlineStr">
        <is>
          <t>Bernard Lopi</t>
        </is>
      </c>
      <c r="D19" s="14" t="inlineStr">
        <is>
          <t>Molangoane</t>
        </is>
      </c>
      <c r="E19" s="14" t="inlineStr"/>
      <c r="F19" s="14" t="inlineStr"/>
      <c r="G19" s="14" t="inlineStr">
        <is>
          <t>ZA</t>
        </is>
      </c>
      <c r="H19" s="14" t="inlineStr">
        <is>
          <t>2022-05-16 09:38:45Z</t>
        </is>
      </c>
      <c r="I19" s="14" t="inlineStr">
        <is>
          <t>No</t>
        </is>
      </c>
      <c r="J19" s="14" t="inlineStr">
        <is>
          <t>Microsoft Defender for Office 365 (Plan 2)+Microsoft 365 Business Standard</t>
        </is>
      </c>
      <c r="K19" s="14" t="n">
        <v>2</v>
      </c>
    </row>
    <row r="20">
      <c r="A20" s="14" t="inlineStr">
        <is>
          <t>Betty Monyepao</t>
        </is>
      </c>
      <c r="B20" s="14" t="inlineStr">
        <is>
          <t>betty@WearCheckRS.com</t>
        </is>
      </c>
      <c r="C20" s="14" t="inlineStr">
        <is>
          <t>Betty</t>
        </is>
      </c>
      <c r="D20" s="14" t="inlineStr">
        <is>
          <t>Monyepao</t>
        </is>
      </c>
      <c r="E20" s="14" t="inlineStr"/>
      <c r="F20" s="14" t="inlineStr"/>
      <c r="G20" s="14" t="inlineStr">
        <is>
          <t>ZA</t>
        </is>
      </c>
      <c r="H20" s="14" t="inlineStr">
        <is>
          <t>2022-05-16 11:02:31Z</t>
        </is>
      </c>
      <c r="I20" s="14" t="inlineStr">
        <is>
          <t>No</t>
        </is>
      </c>
      <c r="J20" s="14" t="inlineStr">
        <is>
          <t>Microsoft Defender for Office 365 (Plan 2)+Microsoft 365 Business Standard</t>
        </is>
      </c>
      <c r="K20" s="14" t="n">
        <v>2</v>
      </c>
    </row>
    <row r="21">
      <c r="A21" s="14" t="inlineStr">
        <is>
          <t>Bianka De Beer</t>
        </is>
      </c>
      <c r="B21" s="14" t="inlineStr">
        <is>
          <t>Bianka@WearCheckRS.com</t>
        </is>
      </c>
      <c r="C21" s="14" t="inlineStr">
        <is>
          <t>Bianka</t>
        </is>
      </c>
      <c r="D21" s="14" t="inlineStr">
        <is>
          <t>De Beer</t>
        </is>
      </c>
      <c r="E21" s="14" t="inlineStr"/>
      <c r="F21" s="14" t="inlineStr">
        <is>
          <t>Administrator</t>
        </is>
      </c>
      <c r="G21" s="14" t="inlineStr">
        <is>
          <t>ZA</t>
        </is>
      </c>
      <c r="H21" s="14" t="inlineStr">
        <is>
          <t>2026-02-03 18:11:54Z</t>
        </is>
      </c>
      <c r="I21" s="14" t="inlineStr">
        <is>
          <t>No</t>
        </is>
      </c>
      <c r="J21" s="14" t="inlineStr">
        <is>
          <t>Microsoft Power Automate Free+Microsoft Power Apps Plan 2 Trial+Microsoft Fabric (Free)+Microsoft Copilot Studio Viral Trial+Microsoft Power Apps for Developer+Power Pages vTrial for Makers+Microsoft Defender for Office 365 (Plan 2)+Dynamics 365 Customer Insights Self-Service+Microsoft 365 Business Premium</t>
        </is>
      </c>
      <c r="K21" s="14" t="n">
        <v>9</v>
      </c>
    </row>
    <row r="22">
      <c r="A22" s="14" t="inlineStr">
        <is>
          <t>Boitumelo Makgamatha</t>
        </is>
      </c>
      <c r="B22" s="14" t="inlineStr">
        <is>
          <t>Boitumelo@WearCheckRS.com</t>
        </is>
      </c>
      <c r="C22" s="14" t="inlineStr">
        <is>
          <t>Boitumelo</t>
        </is>
      </c>
      <c r="D22" s="14" t="inlineStr">
        <is>
          <t>Makgamatha</t>
        </is>
      </c>
      <c r="E22" s="14" t="inlineStr"/>
      <c r="F22" s="14" t="inlineStr"/>
      <c r="G22" s="14" t="inlineStr">
        <is>
          <t>ZA</t>
        </is>
      </c>
      <c r="H22" s="14" t="inlineStr">
        <is>
          <t>2022-02-10 14:39:01Z</t>
        </is>
      </c>
      <c r="I22" s="14" t="inlineStr">
        <is>
          <t>No</t>
        </is>
      </c>
      <c r="J22" s="14" t="inlineStr">
        <is>
          <t>Microsoft Defender for Office 365 (Plan 2)+Microsoft 365 Business Standard</t>
        </is>
      </c>
      <c r="K22" s="14" t="n">
        <v>2</v>
      </c>
    </row>
    <row r="23">
      <c r="A23" s="14" t="inlineStr">
        <is>
          <t>Chicco Tivane</t>
        </is>
      </c>
      <c r="B23" s="14" t="inlineStr">
        <is>
          <t>chicco@WearCheckRS.com</t>
        </is>
      </c>
      <c r="C23" s="14" t="inlineStr">
        <is>
          <t>Chicco</t>
        </is>
      </c>
      <c r="D23" s="14" t="inlineStr">
        <is>
          <t>Tivane</t>
        </is>
      </c>
      <c r="E23" s="14" t="inlineStr"/>
      <c r="F23" s="14" t="inlineStr"/>
      <c r="G23" s="14" t="inlineStr">
        <is>
          <t>ZA</t>
        </is>
      </c>
      <c r="H23" s="14" t="inlineStr">
        <is>
          <t>2022-05-16 09:41:08Z</t>
        </is>
      </c>
      <c r="I23" s="14" t="inlineStr">
        <is>
          <t>No</t>
        </is>
      </c>
      <c r="J23" s="14" t="inlineStr">
        <is>
          <t>Microsoft Defender for Office 365 (Plan 2)+Microsoft 365 Business Standard</t>
        </is>
      </c>
      <c r="K23" s="14" t="n">
        <v>2</v>
      </c>
    </row>
    <row r="24">
      <c r="A24" s="14" t="inlineStr">
        <is>
          <t>Chris Mostert</t>
        </is>
      </c>
      <c r="B24" s="14" t="inlineStr">
        <is>
          <t>ChrisM@wearcheckrs.com</t>
        </is>
      </c>
      <c r="C24" s="14" t="inlineStr">
        <is>
          <t>Chris</t>
        </is>
      </c>
      <c r="D24" s="14" t="inlineStr">
        <is>
          <t>Mostert</t>
        </is>
      </c>
      <c r="E24" s="14" t="inlineStr">
        <is>
          <t>Reliability Solutions</t>
        </is>
      </c>
      <c r="F24" s="14" t="inlineStr">
        <is>
          <t>Analyst</t>
        </is>
      </c>
      <c r="G24" s="14" t="inlineStr">
        <is>
          <t>ZA</t>
        </is>
      </c>
      <c r="H24" s="14" t="inlineStr">
        <is>
          <t>2022-03-03 00:28:52Z</t>
        </is>
      </c>
      <c r="I24" s="14" t="inlineStr">
        <is>
          <t>No</t>
        </is>
      </c>
      <c r="J24" s="14" t="inlineStr">
        <is>
          <t>Microsoft Defender for Office 365 (Plan 2)+Microsoft 365 Business Standard</t>
        </is>
      </c>
      <c r="K24" s="14" t="n">
        <v>2</v>
      </c>
    </row>
    <row r="25">
      <c r="A25" s="14" t="inlineStr">
        <is>
          <t>Christene Fourie</t>
        </is>
      </c>
      <c r="B25" s="14" t="inlineStr">
        <is>
          <t>Christene@WearCheckRS.com</t>
        </is>
      </c>
      <c r="C25" s="14" t="inlineStr">
        <is>
          <t>Christene</t>
        </is>
      </c>
      <c r="D25" s="14" t="inlineStr">
        <is>
          <t>Fourie</t>
        </is>
      </c>
      <c r="E25" s="14" t="inlineStr">
        <is>
          <t>RS AND AFS</t>
        </is>
      </c>
      <c r="F25" s="14" t="inlineStr">
        <is>
          <t>Administrator Logistics</t>
        </is>
      </c>
      <c r="G25" s="14" t="inlineStr">
        <is>
          <t>ZA</t>
        </is>
      </c>
      <c r="H25" s="14" t="inlineStr">
        <is>
          <t>2020-10-31 13:31:54Z</t>
        </is>
      </c>
      <c r="I25" s="14" t="inlineStr">
        <is>
          <t>No</t>
        </is>
      </c>
      <c r="J25" s="14" t="inlineStr">
        <is>
          <t>Microsoft Defender for Office 365 (Plan 2)+Microsoft Power Automate Free+Microsoft 365 Business Standard</t>
        </is>
      </c>
      <c r="K25" s="14" t="n">
        <v>3</v>
      </c>
    </row>
    <row r="26">
      <c r="A26" s="14" t="inlineStr">
        <is>
          <t>Christian Geel</t>
        </is>
      </c>
      <c r="B26" s="14" t="inlineStr">
        <is>
          <t>Christian@WearCheckRS.com</t>
        </is>
      </c>
      <c r="C26" s="14" t="inlineStr">
        <is>
          <t>Christian</t>
        </is>
      </c>
      <c r="D26" s="14" t="inlineStr">
        <is>
          <t>Geel</t>
        </is>
      </c>
      <c r="E26" s="14" t="inlineStr">
        <is>
          <t>ARC</t>
        </is>
      </c>
      <c r="F26" s="14" t="inlineStr">
        <is>
          <t>Data Collector</t>
        </is>
      </c>
      <c r="G26" s="14" t="inlineStr">
        <is>
          <t>ZA</t>
        </is>
      </c>
      <c r="H26" s="14" t="inlineStr">
        <is>
          <t>2022-05-05 07:19:08Z</t>
        </is>
      </c>
      <c r="I26" s="14" t="inlineStr">
        <is>
          <t>No</t>
        </is>
      </c>
      <c r="J26" s="14" t="inlineStr">
        <is>
          <t>Microsoft Fabric (Free)+Microsoft Power Automate Free</t>
        </is>
      </c>
      <c r="K26" s="14" t="n">
        <v>2</v>
      </c>
    </row>
    <row r="27">
      <c r="A27" s="14" t="inlineStr">
        <is>
          <t>Christie</t>
        </is>
      </c>
      <c r="B27" s="14" t="inlineStr">
        <is>
          <t>christie.samancor@WearCheckRS.com</t>
        </is>
      </c>
      <c r="C27" s="14" t="inlineStr"/>
      <c r="D27" s="14" t="inlineStr"/>
      <c r="E27" s="14" t="inlineStr"/>
      <c r="F27" s="14" t="inlineStr"/>
      <c r="G27" s="14" t="inlineStr">
        <is>
          <t>ZA</t>
        </is>
      </c>
      <c r="H27" s="14" t="inlineStr">
        <is>
          <t>2025-02-21 11:32:15Z</t>
        </is>
      </c>
      <c r="I27" s="14" t="inlineStr">
        <is>
          <t>No</t>
        </is>
      </c>
      <c r="J27" s="14" t="inlineStr">
        <is>
          <t>Microsoft Fabric (Free)</t>
        </is>
      </c>
      <c r="K27" s="14" t="n">
        <v>1</v>
      </c>
    </row>
    <row r="28">
      <c r="A28" s="14" t="inlineStr">
        <is>
          <t>CJ Woller</t>
        </is>
      </c>
      <c r="B28" s="14" t="inlineStr">
        <is>
          <t>cj@WearCheckRS.com</t>
        </is>
      </c>
      <c r="C28" s="14" t="inlineStr">
        <is>
          <t>CJ</t>
        </is>
      </c>
      <c r="D28" s="14" t="inlineStr">
        <is>
          <t>Woller</t>
        </is>
      </c>
      <c r="E28" s="14" t="inlineStr"/>
      <c r="F28" s="14" t="inlineStr"/>
      <c r="G28" s="14" t="inlineStr">
        <is>
          <t>ZA</t>
        </is>
      </c>
      <c r="H28" s="14" t="inlineStr">
        <is>
          <t>2023-06-05 10:23:31Z</t>
        </is>
      </c>
      <c r="I28" s="14" t="inlineStr">
        <is>
          <t>No</t>
        </is>
      </c>
      <c r="J28" s="14" t="inlineStr">
        <is>
          <t>Microsoft Defender for Office 365 (Plan 2)+Microsoft Power Automate Free+Microsoft 365 Business Standard</t>
        </is>
      </c>
      <c r="K28" s="14" t="n">
        <v>3</v>
      </c>
    </row>
    <row r="29">
      <c r="A29" s="14" t="inlineStr">
        <is>
          <t>Colleen Pyper</t>
        </is>
      </c>
      <c r="B29" s="14" t="inlineStr">
        <is>
          <t>colleen.pyper@WearCheckRS.com</t>
        </is>
      </c>
      <c r="C29" s="14" t="inlineStr">
        <is>
          <t>Colleen</t>
        </is>
      </c>
      <c r="D29" s="14" t="inlineStr">
        <is>
          <t>Pyper</t>
        </is>
      </c>
      <c r="E29" s="14" t="inlineStr"/>
      <c r="F29" s="14" t="inlineStr"/>
      <c r="G29" s="14" t="inlineStr">
        <is>
          <t>ZA</t>
        </is>
      </c>
      <c r="H29" s="14" t="inlineStr">
        <is>
          <t>2023-02-17 07:23:03Z</t>
        </is>
      </c>
      <c r="I29" s="14" t="inlineStr">
        <is>
          <t>No</t>
        </is>
      </c>
      <c r="J29" s="14" t="inlineStr">
        <is>
          <t>Microsoft Defender for Office 365 (Plan 2)+Microsoft Power Automate Free+Microsoft 365 Business Standard</t>
        </is>
      </c>
      <c r="K29" s="14" t="n">
        <v>3</v>
      </c>
    </row>
    <row r="30">
      <c r="A30" s="14" t="inlineStr">
        <is>
          <t>Daniel Molapo</t>
        </is>
      </c>
      <c r="B30" s="14" t="inlineStr">
        <is>
          <t>daniel@WearCheckRS.com</t>
        </is>
      </c>
      <c r="C30" s="14" t="inlineStr">
        <is>
          <t>Daniel</t>
        </is>
      </c>
      <c r="D30" s="14" t="inlineStr">
        <is>
          <t>Molapo</t>
        </is>
      </c>
      <c r="E30" s="14" t="inlineStr">
        <is>
          <t>ARC</t>
        </is>
      </c>
      <c r="F30" s="14" t="inlineStr"/>
      <c r="G30" s="14" t="inlineStr">
        <is>
          <t>ZA</t>
        </is>
      </c>
      <c r="H30" s="14" t="inlineStr">
        <is>
          <t>2022-05-17 10:33:08Z</t>
        </is>
      </c>
      <c r="I30" s="14" t="inlineStr">
        <is>
          <t>No</t>
        </is>
      </c>
      <c r="J30" s="14" t="inlineStr">
        <is>
          <t>Microsoft Defender for Office 365 (Plan 2)+Microsoft 365 E3+Microsoft Fabric (Free)+Microsoft Power Automate Free</t>
        </is>
      </c>
      <c r="K30" s="14" t="n">
        <v>4</v>
      </c>
    </row>
    <row r="31">
      <c r="A31" s="14" t="inlineStr">
        <is>
          <t>David Lipange</t>
        </is>
      </c>
      <c r="B31" s="14" t="inlineStr">
        <is>
          <t>DavidL@WearCheckRS.com</t>
        </is>
      </c>
      <c r="C31" s="14" t="inlineStr">
        <is>
          <t>David</t>
        </is>
      </c>
      <c r="D31" s="14" t="inlineStr">
        <is>
          <t>Lipange</t>
        </is>
      </c>
      <c r="E31" s="14" t="inlineStr">
        <is>
          <t>RS</t>
        </is>
      </c>
      <c r="F31" s="14" t="inlineStr">
        <is>
          <t>CM Technician</t>
        </is>
      </c>
      <c r="G31" s="14" t="inlineStr">
        <is>
          <t>ZA</t>
        </is>
      </c>
      <c r="H31" s="14" t="inlineStr">
        <is>
          <t>2021-11-30 14:38:01Z</t>
        </is>
      </c>
      <c r="I31" s="14" t="inlineStr">
        <is>
          <t>No</t>
        </is>
      </c>
      <c r="J31" s="14" t="inlineStr">
        <is>
          <t>Microsoft Defender for Office 365 (Plan 2)+Microsoft Fabric (Free)+Microsoft 365 Business Standard</t>
        </is>
      </c>
      <c r="K31" s="14" t="n">
        <v>3</v>
      </c>
    </row>
    <row r="32">
      <c r="A32" s="14" t="inlineStr">
        <is>
          <t>David Viljoen</t>
        </is>
      </c>
      <c r="B32" s="14" t="inlineStr">
        <is>
          <t>David@WearCheckRS.com</t>
        </is>
      </c>
      <c r="C32" s="14" t="inlineStr">
        <is>
          <t>David</t>
        </is>
      </c>
      <c r="D32" s="14" t="inlineStr">
        <is>
          <t>Viljoen</t>
        </is>
      </c>
      <c r="E32" s="14" t="inlineStr">
        <is>
          <t>RS</t>
        </is>
      </c>
      <c r="F32" s="14" t="inlineStr">
        <is>
          <t>Technician</t>
        </is>
      </c>
      <c r="G32" s="14" t="inlineStr">
        <is>
          <t>ZA</t>
        </is>
      </c>
      <c r="H32" s="14" t="inlineStr">
        <is>
          <t>2020-12-02 08:11:06Z</t>
        </is>
      </c>
      <c r="I32" s="14" t="inlineStr">
        <is>
          <t>No</t>
        </is>
      </c>
      <c r="J32" s="14" t="inlineStr">
        <is>
          <t>Microsoft Defender for Office 365 (Plan 2)+Microsoft Fabric (Free)+Microsoft 365 Business Standard+Microsoft Power Automate Free</t>
        </is>
      </c>
      <c r="K32" s="14" t="n">
        <v>4</v>
      </c>
    </row>
    <row r="33">
      <c r="A33" s="14" t="inlineStr">
        <is>
          <t>Deon Gaarkeuken</t>
        </is>
      </c>
      <c r="B33" s="14" t="inlineStr">
        <is>
          <t>Deon@WearCheckRS.com</t>
        </is>
      </c>
      <c r="C33" s="14" t="inlineStr">
        <is>
          <t>Deon</t>
        </is>
      </c>
      <c r="D33" s="14" t="inlineStr">
        <is>
          <t>Gaarkeuken</t>
        </is>
      </c>
      <c r="E33" s="14" t="inlineStr">
        <is>
          <t>RS</t>
        </is>
      </c>
      <c r="F33" s="14" t="inlineStr">
        <is>
          <t>Senior Technician</t>
        </is>
      </c>
      <c r="G33" s="14" t="inlineStr">
        <is>
          <t>ZA</t>
        </is>
      </c>
      <c r="H33" s="14" t="inlineStr">
        <is>
          <t>2020-08-31 08:17:29Z</t>
        </is>
      </c>
      <c r="I33" s="14" t="inlineStr">
        <is>
          <t>No</t>
        </is>
      </c>
      <c r="J33" s="14" t="inlineStr">
        <is>
          <t>Microsoft Defender for Office 365 (Plan 2)+Power BI Premium Per User+Microsoft 365 E3+Microsoft Fabric (Free)+Microsoft Power Automate Free</t>
        </is>
      </c>
      <c r="K33" s="14" t="n">
        <v>5</v>
      </c>
    </row>
    <row r="34">
      <c r="A34" s="14" t="inlineStr">
        <is>
          <t>Desmond Ngomane</t>
        </is>
      </c>
      <c r="B34" s="14" t="inlineStr">
        <is>
          <t>desmond@WearCheckRS.com</t>
        </is>
      </c>
      <c r="C34" s="14" t="inlineStr">
        <is>
          <t>Desmond</t>
        </is>
      </c>
      <c r="D34" s="14" t="inlineStr">
        <is>
          <t>Ngomane</t>
        </is>
      </c>
      <c r="E34" s="14" t="inlineStr"/>
      <c r="F34" s="14" t="inlineStr"/>
      <c r="G34" s="14" t="inlineStr">
        <is>
          <t>ZA</t>
        </is>
      </c>
      <c r="H34" s="14" t="inlineStr">
        <is>
          <t>2022-05-17 10:21:51Z</t>
        </is>
      </c>
      <c r="I34" s="14" t="inlineStr">
        <is>
          <t>No</t>
        </is>
      </c>
      <c r="J34" s="14" t="inlineStr">
        <is>
          <t>Microsoft Defender for Office 365 (Plan 2)+Microsoft Fabric (Free)+Microsoft 365 Business Standard</t>
        </is>
      </c>
      <c r="K34" s="14" t="n">
        <v>3</v>
      </c>
    </row>
    <row r="35">
      <c r="A35" s="14" t="inlineStr">
        <is>
          <t>Dian Leff</t>
        </is>
      </c>
      <c r="B35" s="14" t="inlineStr">
        <is>
          <t>dian@WearCheckRS.com</t>
        </is>
      </c>
      <c r="C35" s="14" t="inlineStr">
        <is>
          <t>Dian</t>
        </is>
      </c>
      <c r="D35" s="14" t="inlineStr">
        <is>
          <t>Leff</t>
        </is>
      </c>
      <c r="E35" s="14" t="inlineStr"/>
      <c r="F35" s="14" t="inlineStr"/>
      <c r="G35" s="14" t="inlineStr">
        <is>
          <t>ZA</t>
        </is>
      </c>
      <c r="H35" s="14" t="inlineStr">
        <is>
          <t>2024-06-11 08:23:06Z</t>
        </is>
      </c>
      <c r="I35" s="14" t="inlineStr">
        <is>
          <t>No</t>
        </is>
      </c>
      <c r="J35" s="14" t="inlineStr">
        <is>
          <t>Microsoft Defender for Office 365 (Plan 2)+Microsoft 365 Business Standard</t>
        </is>
      </c>
      <c r="K35" s="14" t="n">
        <v>2</v>
      </c>
    </row>
    <row r="36">
      <c r="A36" s="14" t="inlineStr">
        <is>
          <t>Douglas Prout-Jones</t>
        </is>
      </c>
      <c r="B36" s="14" t="inlineStr">
        <is>
          <t>douglas@WearCheckRS.com</t>
        </is>
      </c>
      <c r="C36" s="14" t="inlineStr">
        <is>
          <t>Douglas</t>
        </is>
      </c>
      <c r="D36" s="14" t="inlineStr">
        <is>
          <t>Prout-Jones</t>
        </is>
      </c>
      <c r="E36" s="14" t="inlineStr"/>
      <c r="F36" s="14" t="inlineStr"/>
      <c r="G36" s="14" t="inlineStr">
        <is>
          <t>ZA</t>
        </is>
      </c>
      <c r="H36" s="14" t="inlineStr">
        <is>
          <t>2023-06-05 10:24:22Z</t>
        </is>
      </c>
      <c r="I36" s="14" t="inlineStr">
        <is>
          <t>No</t>
        </is>
      </c>
      <c r="J36" s="14" t="inlineStr">
        <is>
          <t>Microsoft Defender for Office 365 (Plan 2)+Microsoft Power Automate Free+Microsoft 365 Business Standard</t>
        </is>
      </c>
      <c r="K36" s="14" t="n">
        <v>3</v>
      </c>
    </row>
    <row r="37">
      <c r="A37" s="14" t="inlineStr">
        <is>
          <t>Eben Prinsloo</t>
        </is>
      </c>
      <c r="B37" s="14" t="inlineStr">
        <is>
          <t>eben@WearCheckRS.com</t>
        </is>
      </c>
      <c r="C37" s="14" t="inlineStr">
        <is>
          <t>Eben</t>
        </is>
      </c>
      <c r="D37" s="14" t="inlineStr">
        <is>
          <t>Prinsloo</t>
        </is>
      </c>
      <c r="E37" s="14" t="inlineStr"/>
      <c r="F37" s="14" t="inlineStr"/>
      <c r="G37" s="14" t="inlineStr">
        <is>
          <t>ZA</t>
        </is>
      </c>
      <c r="H37" s="14" t="inlineStr">
        <is>
          <t>2023-11-07 13:02:11Z</t>
        </is>
      </c>
      <c r="I37" s="14" t="inlineStr">
        <is>
          <t>No</t>
        </is>
      </c>
      <c r="J37" s="14" t="inlineStr">
        <is>
          <t>Microsoft Defender for Office 365 (Plan 2)+Microsoft 365 Business Standard+Microsoft Fabric (Free)</t>
        </is>
      </c>
      <c r="K37" s="14" t="n">
        <v>3</v>
      </c>
    </row>
    <row r="38">
      <c r="A38" s="14" t="inlineStr">
        <is>
          <t>Edward Pieterse Jnr</t>
        </is>
      </c>
      <c r="B38" s="14" t="inlineStr">
        <is>
          <t>edwardfp@WearCheckRS.com</t>
        </is>
      </c>
      <c r="C38" s="14" t="inlineStr">
        <is>
          <t>Edward</t>
        </is>
      </c>
      <c r="D38" s="14" t="inlineStr">
        <is>
          <t>Pieterse Jnr</t>
        </is>
      </c>
      <c r="E38" s="14" t="inlineStr">
        <is>
          <t>Reliability Solutions Services</t>
        </is>
      </c>
      <c r="F38" s="14" t="inlineStr">
        <is>
          <t>Operations Manager</t>
        </is>
      </c>
      <c r="G38" s="14" t="inlineStr">
        <is>
          <t>ZA</t>
        </is>
      </c>
      <c r="H38" s="14" t="inlineStr">
        <is>
          <t>2020-06-15 21:43:44Z</t>
        </is>
      </c>
      <c r="I38" s="14" t="inlineStr">
        <is>
          <t>No</t>
        </is>
      </c>
      <c r="J38" s="14" t="inlineStr">
        <is>
          <t>Microsoft Defender for Office 365 (Plan 2)+Microsoft Power Apps for Developer+Microsoft 365 E3+Microsoft Fabric (Free)+Microsoft Power Automate Free</t>
        </is>
      </c>
      <c r="K38" s="14" t="n">
        <v>5</v>
      </c>
    </row>
    <row r="39">
      <c r="A39" s="14" t="inlineStr">
        <is>
          <t>Edward Pieterse Snr</t>
        </is>
      </c>
      <c r="B39" s="14" t="inlineStr">
        <is>
          <t>epieterse@wearcheckrs.com</t>
        </is>
      </c>
      <c r="C39" s="14" t="inlineStr">
        <is>
          <t>Edward Snr</t>
        </is>
      </c>
      <c r="D39" s="14" t="inlineStr">
        <is>
          <t>Pieterse</t>
        </is>
      </c>
      <c r="E39" s="14" t="inlineStr"/>
      <c r="F39" s="14" t="inlineStr">
        <is>
          <t>Reliability Specialist</t>
        </is>
      </c>
      <c r="G39" s="14" t="inlineStr">
        <is>
          <t>ZA</t>
        </is>
      </c>
      <c r="H39" s="14" t="inlineStr">
        <is>
          <t>2021-05-25 17:39:48Z</t>
        </is>
      </c>
      <c r="I39" s="14" t="inlineStr">
        <is>
          <t>No</t>
        </is>
      </c>
      <c r="J39" s="14" t="inlineStr">
        <is>
          <t>Microsoft 365 Business Premium+Microsoft Defender for Office 365 (Plan 2)+Microsoft Power Automate Free+Microsoft Fabric (Free)</t>
        </is>
      </c>
      <c r="K39" s="14" t="n">
        <v>4</v>
      </c>
    </row>
    <row r="40">
      <c r="A40" s="14" t="inlineStr">
        <is>
          <t>Edwin Gibbons</t>
        </is>
      </c>
      <c r="B40" s="14" t="inlineStr">
        <is>
          <t>edwin@WearCheckRS.com</t>
        </is>
      </c>
      <c r="C40" s="14" t="inlineStr">
        <is>
          <t>Edwin</t>
        </is>
      </c>
      <c r="D40" s="14" t="inlineStr">
        <is>
          <t>Gibbons</t>
        </is>
      </c>
      <c r="E40" s="14" t="inlineStr"/>
      <c r="F40" s="14" t="inlineStr"/>
      <c r="G40" s="14" t="inlineStr">
        <is>
          <t>ZA</t>
        </is>
      </c>
      <c r="H40" s="14" t="inlineStr">
        <is>
          <t>2025-07-24 07:20:48Z</t>
        </is>
      </c>
      <c r="I40" s="14" t="inlineStr">
        <is>
          <t>No</t>
        </is>
      </c>
      <c r="J40" s="14" t="inlineStr">
        <is>
          <t>Microsoft Defender for Office 365 (Plan 2)+Microsoft 365 Business Standard</t>
        </is>
      </c>
      <c r="K40" s="14" t="n">
        <v>2</v>
      </c>
    </row>
    <row r="41">
      <c r="A41" s="14" t="inlineStr">
        <is>
          <t>Ethel Mienie</t>
        </is>
      </c>
      <c r="B41" s="14" t="inlineStr">
        <is>
          <t>ethel.mienie@WearCheckRS.com</t>
        </is>
      </c>
      <c r="C41" s="14" t="inlineStr">
        <is>
          <t>Ethel</t>
        </is>
      </c>
      <c r="D41" s="14" t="inlineStr">
        <is>
          <t>Mienie</t>
        </is>
      </c>
      <c r="E41" s="14" t="inlineStr"/>
      <c r="F41" s="14" t="inlineStr"/>
      <c r="G41" s="14" t="inlineStr">
        <is>
          <t>ZA</t>
        </is>
      </c>
      <c r="H41" s="14" t="inlineStr">
        <is>
          <t>2023-02-17 07:21:10Z</t>
        </is>
      </c>
      <c r="I41" s="14" t="inlineStr">
        <is>
          <t>No</t>
        </is>
      </c>
      <c r="J41" s="14" t="inlineStr">
        <is>
          <t>Microsoft Defender for Office 365 (Plan 2)+Microsoft 365 Business Standard</t>
        </is>
      </c>
      <c r="K41" s="14" t="n">
        <v>2</v>
      </c>
    </row>
    <row r="42">
      <c r="A42" s="14" t="inlineStr">
        <is>
          <t>Eugene Scheepers</t>
        </is>
      </c>
      <c r="B42" s="14" t="inlineStr">
        <is>
          <t>eugene@WearCheckRS.com</t>
        </is>
      </c>
      <c r="C42" s="14" t="inlineStr">
        <is>
          <t>Eugene</t>
        </is>
      </c>
      <c r="D42" s="14" t="inlineStr">
        <is>
          <t>Scheepers</t>
        </is>
      </c>
      <c r="E42" s="14" t="inlineStr"/>
      <c r="F42" s="14" t="inlineStr"/>
      <c r="G42" s="14" t="inlineStr">
        <is>
          <t>ZA</t>
        </is>
      </c>
      <c r="H42" s="14" t="inlineStr">
        <is>
          <t>2022-05-16 09:51:35Z</t>
        </is>
      </c>
      <c r="I42" s="14" t="inlineStr">
        <is>
          <t>No</t>
        </is>
      </c>
      <c r="J42" s="14" t="inlineStr">
        <is>
          <t>Microsoft Defender for Office 365 (Plan 2)+Microsoft 365 Business Standard</t>
        </is>
      </c>
      <c r="K42" s="14" t="n">
        <v>2</v>
      </c>
    </row>
    <row r="43">
      <c r="A43" s="14" t="inlineStr">
        <is>
          <t>Evert Viljoen</t>
        </is>
      </c>
      <c r="B43" s="14" t="inlineStr">
        <is>
          <t>Evert@WearCheckRS.com</t>
        </is>
      </c>
      <c r="C43" s="14" t="inlineStr">
        <is>
          <t>Evert</t>
        </is>
      </c>
      <c r="D43" s="14" t="inlineStr">
        <is>
          <t>Viljoen</t>
        </is>
      </c>
      <c r="E43" s="14" t="inlineStr">
        <is>
          <t>NDT</t>
        </is>
      </c>
      <c r="F43" s="14" t="inlineStr"/>
      <c r="G43" s="14" t="inlineStr">
        <is>
          <t>ZA</t>
        </is>
      </c>
      <c r="H43" s="14" t="inlineStr">
        <is>
          <t>2026-01-23 10:26:53Z</t>
        </is>
      </c>
      <c r="I43" s="14" t="inlineStr">
        <is>
          <t>No</t>
        </is>
      </c>
      <c r="J43" s="14" t="inlineStr">
        <is>
          <t>Microsoft Defender for Office 365 (Plan 2)+Microsoft 365 Business Premium</t>
        </is>
      </c>
      <c r="K43" s="14" t="n">
        <v>2</v>
      </c>
    </row>
    <row r="44">
      <c r="A44" s="14" t="inlineStr">
        <is>
          <t>FLIRIRVM1</t>
        </is>
      </c>
      <c r="B44" s="14" t="inlineStr">
        <is>
          <t>flirirvm1@WearCheckRS.com</t>
        </is>
      </c>
      <c r="C44" s="14" t="inlineStr">
        <is>
          <t>FLIRIRVM1</t>
        </is>
      </c>
      <c r="D44" s="14" t="inlineStr"/>
      <c r="E44" s="14" t="inlineStr">
        <is>
          <t>Reliability Solutions</t>
        </is>
      </c>
      <c r="F44" s="14" t="inlineStr"/>
      <c r="G44" s="14" t="inlineStr">
        <is>
          <t>ZA</t>
        </is>
      </c>
      <c r="H44" s="14" t="inlineStr">
        <is>
          <t>2021-11-26 09:16:55Z</t>
        </is>
      </c>
      <c r="I44" s="14" t="inlineStr">
        <is>
          <t>No</t>
        </is>
      </c>
      <c r="J44" s="14" t="inlineStr">
        <is>
          <t>Microsoft Defender for Office 365 (Plan 2)+Microsoft 365 Business Standard</t>
        </is>
      </c>
      <c r="K44" s="14" t="n">
        <v>2</v>
      </c>
    </row>
    <row r="45">
      <c r="A45" s="14" t="inlineStr">
        <is>
          <t>flirirvm2</t>
        </is>
      </c>
      <c r="B45" s="14" t="inlineStr">
        <is>
          <t>flirirvm2@WearCheckRS.com</t>
        </is>
      </c>
      <c r="C45" s="14" t="inlineStr"/>
      <c r="D45" s="14" t="inlineStr"/>
      <c r="E45" s="14" t="inlineStr"/>
      <c r="F45" s="14" t="inlineStr"/>
      <c r="G45" s="14" t="inlineStr">
        <is>
          <t>ZA</t>
        </is>
      </c>
      <c r="H45" s="14" t="inlineStr">
        <is>
          <t>2021-11-30 06:51:41Z</t>
        </is>
      </c>
      <c r="I45" s="14" t="inlineStr">
        <is>
          <t>No</t>
        </is>
      </c>
      <c r="J45" s="14" t="inlineStr">
        <is>
          <t>Microsoft Defender for Office 365 (Plan 2)+Microsoft Fabric (Free)+Microsoft 365 Business Standard</t>
        </is>
      </c>
      <c r="K45" s="14" t="n">
        <v>3</v>
      </c>
    </row>
    <row r="46">
      <c r="A46" s="14" t="inlineStr">
        <is>
          <t>flirirvm3</t>
        </is>
      </c>
      <c r="B46" s="14" t="inlineStr">
        <is>
          <t>flirirvm3@WearCheckRS.com</t>
        </is>
      </c>
      <c r="C46" s="14" t="inlineStr"/>
      <c r="D46" s="14" t="inlineStr"/>
      <c r="E46" s="14" t="inlineStr"/>
      <c r="F46" s="14" t="inlineStr"/>
      <c r="G46" s="14" t="inlineStr">
        <is>
          <t>ZA</t>
        </is>
      </c>
      <c r="H46" s="14" t="inlineStr">
        <is>
          <t>2021-11-30 06:53:49Z</t>
        </is>
      </c>
      <c r="I46" s="14" t="inlineStr">
        <is>
          <t>No</t>
        </is>
      </c>
      <c r="J46" s="14" t="inlineStr">
        <is>
          <t>Microsoft Defender for Office 365 (Plan 2)+Microsoft Fabric (Free)+Microsoft 365 Business Standard</t>
        </is>
      </c>
      <c r="K46" s="14" t="n">
        <v>3</v>
      </c>
    </row>
    <row r="47">
      <c r="A47" s="14" t="inlineStr">
        <is>
          <t>Francios Pretorius</t>
        </is>
      </c>
      <c r="B47" s="14" t="inlineStr">
        <is>
          <t>franciosp@WearCheckRS.com</t>
        </is>
      </c>
      <c r="C47" s="14" t="inlineStr">
        <is>
          <t>Francios</t>
        </is>
      </c>
      <c r="D47" s="14" t="inlineStr">
        <is>
          <t>Pretorius</t>
        </is>
      </c>
      <c r="E47" s="14" t="inlineStr"/>
      <c r="F47" s="14" t="inlineStr"/>
      <c r="G47" s="14" t="inlineStr">
        <is>
          <t>ZA</t>
        </is>
      </c>
      <c r="H47" s="14" t="inlineStr">
        <is>
          <t>2022-05-26 10:06:43Z</t>
        </is>
      </c>
      <c r="I47" s="14" t="inlineStr">
        <is>
          <t>No</t>
        </is>
      </c>
      <c r="J47" s="14" t="inlineStr">
        <is>
          <t>Microsoft Defender for Office 365 (Plan 2)+Microsoft Power Automate Free+Microsoft 365 Business Standard</t>
        </is>
      </c>
      <c r="K47" s="14" t="n">
        <v>3</v>
      </c>
    </row>
    <row r="48">
      <c r="A48" s="14" t="inlineStr">
        <is>
          <t>Francois Pienaar</t>
        </is>
      </c>
      <c r="B48" s="14" t="inlineStr">
        <is>
          <t>FrancoisP@WearCheckRS.com</t>
        </is>
      </c>
      <c r="C48" s="14" t="inlineStr">
        <is>
          <t>Francois</t>
        </is>
      </c>
      <c r="D48" s="14" t="inlineStr">
        <is>
          <t>Pienaar</t>
        </is>
      </c>
      <c r="E48" s="14" t="inlineStr">
        <is>
          <t>RS</t>
        </is>
      </c>
      <c r="F48" s="14" t="inlineStr">
        <is>
          <t>Analyst</t>
        </is>
      </c>
      <c r="G48" s="14" t="inlineStr">
        <is>
          <t>ZA</t>
        </is>
      </c>
      <c r="H48" s="14" t="inlineStr">
        <is>
          <t>2022-05-05 07:26:03Z</t>
        </is>
      </c>
      <c r="I48" s="14" t="inlineStr">
        <is>
          <t>No</t>
        </is>
      </c>
      <c r="J48" s="14" t="inlineStr">
        <is>
          <t>Microsoft Defender for Office 365 (Plan 2)+Microsoft Fabric (Free)+Microsoft 365 Business Standard+Microsoft Power Automate Free</t>
        </is>
      </c>
      <c r="K48" s="14" t="n">
        <v>4</v>
      </c>
    </row>
    <row r="49">
      <c r="A49" s="14" t="inlineStr">
        <is>
          <t>Francois van Eden</t>
        </is>
      </c>
      <c r="B49" s="14" t="inlineStr">
        <is>
          <t>francoisve@wearcheckrs.com</t>
        </is>
      </c>
      <c r="C49" s="14" t="inlineStr">
        <is>
          <t>Francois</t>
        </is>
      </c>
      <c r="D49" s="14" t="inlineStr">
        <is>
          <t>van Eden</t>
        </is>
      </c>
      <c r="E49" s="14" t="inlineStr"/>
      <c r="F49" s="14" t="inlineStr"/>
      <c r="G49" s="14" t="inlineStr">
        <is>
          <t>ZA</t>
        </is>
      </c>
      <c r="H49" s="14" t="inlineStr">
        <is>
          <t>2021-07-08 05:52:30Z</t>
        </is>
      </c>
      <c r="I49" s="14" t="inlineStr">
        <is>
          <t>No</t>
        </is>
      </c>
      <c r="J49" s="14" t="inlineStr">
        <is>
          <t>Microsoft 365 Business Premium+Microsoft Defender for Office 365 (Plan 2)+Microsoft Fabric (Free)+Microsoft Power Automate Free</t>
        </is>
      </c>
      <c r="K49" s="14" t="n">
        <v>4</v>
      </c>
    </row>
    <row r="50">
      <c r="A50" s="14" t="inlineStr">
        <is>
          <t>Freddy-Ben Gariseb</t>
        </is>
      </c>
      <c r="B50" s="14" t="inlineStr">
        <is>
          <t>Freddy-Ben@WearCheckRS.com</t>
        </is>
      </c>
      <c r="C50" s="14" t="inlineStr">
        <is>
          <t>Freddy-Ben</t>
        </is>
      </c>
      <c r="D50" s="14" t="inlineStr">
        <is>
          <t>Gariseb</t>
        </is>
      </c>
      <c r="E50" s="14" t="inlineStr"/>
      <c r="F50" s="14" t="inlineStr"/>
      <c r="G50" s="14" t="inlineStr">
        <is>
          <t>ZA</t>
        </is>
      </c>
      <c r="H50" s="14" t="inlineStr">
        <is>
          <t>2023-02-19 17:54:29Z</t>
        </is>
      </c>
      <c r="I50" s="14" t="inlineStr">
        <is>
          <t>No</t>
        </is>
      </c>
      <c r="J50" s="14" t="inlineStr">
        <is>
          <t>Microsoft Defender for Office 365 (Plan 2)+Microsoft 365 Business Standard</t>
        </is>
      </c>
      <c r="K50" s="14" t="n">
        <v>2</v>
      </c>
    </row>
    <row r="51">
      <c r="A51" s="14" t="inlineStr">
        <is>
          <t>Gabriel</t>
        </is>
      </c>
      <c r="B51" s="14" t="inlineStr">
        <is>
          <t>Gabriel@WearCheckRS.com</t>
        </is>
      </c>
      <c r="C51" s="14" t="inlineStr">
        <is>
          <t>Gabriel</t>
        </is>
      </c>
      <c r="D51" s="14" t="inlineStr">
        <is>
          <t>Nuunyango</t>
        </is>
      </c>
      <c r="E51" s="14" t="inlineStr">
        <is>
          <t>ARC</t>
        </is>
      </c>
      <c r="F51" s="14" t="inlineStr">
        <is>
          <t>Reliability Technologist</t>
        </is>
      </c>
      <c r="G51" s="14" t="inlineStr">
        <is>
          <t>NA</t>
        </is>
      </c>
      <c r="H51" s="14" t="inlineStr">
        <is>
          <t>2023-09-06 19:20:35Z</t>
        </is>
      </c>
      <c r="I51" s="14" t="inlineStr">
        <is>
          <t>No</t>
        </is>
      </c>
      <c r="J51" s="14" t="inlineStr">
        <is>
          <t>Microsoft Defender for Office 365 (Plan 2)+Microsoft Fabric (Free)+Microsoft 365 Business Standard</t>
        </is>
      </c>
      <c r="K51" s="14" t="n">
        <v>3</v>
      </c>
    </row>
    <row r="52">
      <c r="A52" s="14" t="inlineStr">
        <is>
          <t>Gladwin Sekharume</t>
        </is>
      </c>
      <c r="B52" s="14" t="inlineStr">
        <is>
          <t>GladwinS@WearCheckRS.com</t>
        </is>
      </c>
      <c r="C52" s="14" t="inlineStr">
        <is>
          <t>Gladwin</t>
        </is>
      </c>
      <c r="D52" s="14" t="inlineStr">
        <is>
          <t>Sekharume</t>
        </is>
      </c>
      <c r="E52" s="14" t="inlineStr"/>
      <c r="F52" s="14" t="inlineStr"/>
      <c r="G52" s="14" t="inlineStr">
        <is>
          <t>ZA</t>
        </is>
      </c>
      <c r="H52" s="14" t="inlineStr">
        <is>
          <t>2024-06-04 10:08:00Z</t>
        </is>
      </c>
      <c r="I52" s="14" t="inlineStr">
        <is>
          <t>No</t>
        </is>
      </c>
      <c r="J52" s="14" t="inlineStr">
        <is>
          <t>Microsoft Defender for Office 365 (Plan 2)+Microsoft 365 Business Standard</t>
        </is>
      </c>
      <c r="K52" s="14" t="n">
        <v>2</v>
      </c>
    </row>
    <row r="53">
      <c r="A53" s="14" t="inlineStr">
        <is>
          <t>Godfrey Boikhutso</t>
        </is>
      </c>
      <c r="B53" s="14" t="inlineStr">
        <is>
          <t>Godfrey@WearCheckRS.com</t>
        </is>
      </c>
      <c r="C53" s="14" t="inlineStr">
        <is>
          <t>Godfrey</t>
        </is>
      </c>
      <c r="D53" s="14" t="inlineStr">
        <is>
          <t>Boikhutso</t>
        </is>
      </c>
      <c r="E53" s="14" t="inlineStr">
        <is>
          <t>TC</t>
        </is>
      </c>
      <c r="F53" s="14" t="inlineStr"/>
      <c r="G53" s="14" t="inlineStr">
        <is>
          <t>ZA</t>
        </is>
      </c>
      <c r="H53" s="14" t="inlineStr">
        <is>
          <t>2026-01-23 10:24:22Z</t>
        </is>
      </c>
      <c r="I53" s="14" t="inlineStr">
        <is>
          <t>No</t>
        </is>
      </c>
      <c r="J53" s="14" t="inlineStr">
        <is>
          <t>Microsoft Defender for Office 365 (Plan 2)+Microsoft 365 Business Premium</t>
        </is>
      </c>
      <c r="K53" s="14" t="n">
        <v>2</v>
      </c>
    </row>
    <row r="54">
      <c r="A54" s="14" t="inlineStr">
        <is>
          <t>Gustav Lourens</t>
        </is>
      </c>
      <c r="B54" s="14" t="inlineStr">
        <is>
          <t>gustav@WearCheckRS.com</t>
        </is>
      </c>
      <c r="C54" s="14" t="inlineStr">
        <is>
          <t>Gustav</t>
        </is>
      </c>
      <c r="D54" s="14" t="inlineStr">
        <is>
          <t>Lourens</t>
        </is>
      </c>
      <c r="E54" s="14" t="inlineStr"/>
      <c r="F54" s="14" t="inlineStr"/>
      <c r="G54" s="14" t="inlineStr">
        <is>
          <t>ZA</t>
        </is>
      </c>
      <c r="H54" s="14" t="inlineStr">
        <is>
          <t>2022-05-16 09:54:09Z</t>
        </is>
      </c>
      <c r="I54" s="14" t="inlineStr">
        <is>
          <t>No</t>
        </is>
      </c>
      <c r="J54" s="14" t="inlineStr">
        <is>
          <t>Microsoft Defender for Office 365 (Plan 2)+Microsoft 365 Business Standard</t>
        </is>
      </c>
      <c r="K54" s="14" t="n">
        <v>2</v>
      </c>
    </row>
    <row r="55">
      <c r="A55" s="14" t="inlineStr">
        <is>
          <t>Hannest Koegelenberg</t>
        </is>
      </c>
      <c r="B55" s="14" t="inlineStr">
        <is>
          <t>hannest@WearCheckRS.com</t>
        </is>
      </c>
      <c r="C55" s="14" t="inlineStr">
        <is>
          <t>Hannest</t>
        </is>
      </c>
      <c r="D55" s="14" t="inlineStr">
        <is>
          <t>Koegelenberg</t>
        </is>
      </c>
      <c r="E55" s="14" t="inlineStr"/>
      <c r="F55" s="14" t="inlineStr"/>
      <c r="G55" s="14" t="inlineStr">
        <is>
          <t>ZA</t>
        </is>
      </c>
      <c r="H55" s="14" t="inlineStr">
        <is>
          <t>2022-05-16 09:55:02Z</t>
        </is>
      </c>
      <c r="I55" s="14" t="inlineStr">
        <is>
          <t>No</t>
        </is>
      </c>
      <c r="J55" s="14" t="inlineStr">
        <is>
          <t>Microsoft Defender for Office 365 (Plan 2)+Microsoft 365 Business Standard</t>
        </is>
      </c>
      <c r="K55" s="14" t="n">
        <v>2</v>
      </c>
    </row>
    <row r="56">
      <c r="A56" s="14" t="inlineStr">
        <is>
          <t>Hein Coetzer</t>
        </is>
      </c>
      <c r="B56" s="14" t="inlineStr">
        <is>
          <t>heinc@WearCheckRS.com</t>
        </is>
      </c>
      <c r="C56" s="14" t="inlineStr">
        <is>
          <t>Hein</t>
        </is>
      </c>
      <c r="D56" s="14" t="inlineStr">
        <is>
          <t>Coetzer</t>
        </is>
      </c>
      <c r="E56" s="14" t="inlineStr"/>
      <c r="F56" s="14" t="inlineStr"/>
      <c r="G56" s="14" t="inlineStr">
        <is>
          <t>ZA</t>
        </is>
      </c>
      <c r="H56" s="14" t="inlineStr">
        <is>
          <t>2021-05-25 18:10:51Z</t>
        </is>
      </c>
      <c r="I56" s="14" t="inlineStr">
        <is>
          <t>No</t>
        </is>
      </c>
      <c r="J56" s="14" t="inlineStr">
        <is>
          <t>Microsoft Defender for Office 365 (Plan 2)+Microsoft 365 Business Standard</t>
        </is>
      </c>
      <c r="K56" s="14" t="n">
        <v>2</v>
      </c>
    </row>
    <row r="57">
      <c r="A57" s="14" t="inlineStr">
        <is>
          <t>Heinrich Kusel</t>
        </is>
      </c>
      <c r="B57" s="14" t="inlineStr">
        <is>
          <t>Heinrich@WearCheckRS.com</t>
        </is>
      </c>
      <c r="C57" s="14" t="inlineStr">
        <is>
          <t>Heinrich</t>
        </is>
      </c>
      <c r="D57" s="14" t="inlineStr">
        <is>
          <t>Kusel</t>
        </is>
      </c>
      <c r="E57" s="14" t="inlineStr"/>
      <c r="F57" s="14" t="inlineStr"/>
      <c r="G57" s="14" t="inlineStr">
        <is>
          <t>ZA</t>
        </is>
      </c>
      <c r="H57" s="14" t="inlineStr">
        <is>
          <t>2025-01-13 10:00:12Z</t>
        </is>
      </c>
      <c r="I57" s="14" t="inlineStr">
        <is>
          <t>No</t>
        </is>
      </c>
      <c r="J57" s="14" t="inlineStr">
        <is>
          <t>Microsoft Defender for Office 365 (Plan 2)+Microsoft 365 Business Standard</t>
        </is>
      </c>
      <c r="K57" s="14" t="n">
        <v>2</v>
      </c>
    </row>
    <row r="58">
      <c r="A58" s="14" t="inlineStr">
        <is>
          <t>Henry Mherekumombe</t>
        </is>
      </c>
      <c r="B58" s="14" t="inlineStr">
        <is>
          <t>Henry@WearCheckRS.com</t>
        </is>
      </c>
      <c r="C58" s="14" t="inlineStr">
        <is>
          <t>Henry</t>
        </is>
      </c>
      <c r="D58" s="14" t="inlineStr">
        <is>
          <t>Mherekumombe</t>
        </is>
      </c>
      <c r="E58" s="14" t="inlineStr">
        <is>
          <t>RS</t>
        </is>
      </c>
      <c r="F58" s="14" t="inlineStr">
        <is>
          <t>NDT Technician</t>
        </is>
      </c>
      <c r="G58" s="14" t="inlineStr">
        <is>
          <t>ZA</t>
        </is>
      </c>
      <c r="H58" s="14" t="inlineStr">
        <is>
          <t>2021-10-27 08:18:56Z</t>
        </is>
      </c>
      <c r="I58" s="14" t="inlineStr">
        <is>
          <t>No</t>
        </is>
      </c>
      <c r="J58" s="14" t="inlineStr">
        <is>
          <t>Microsoft Defender for Office 365 (Plan 2)+Microsoft Power Automate Free+Microsoft 365 Business Standard</t>
        </is>
      </c>
      <c r="K58" s="14" t="n">
        <v>3</v>
      </c>
    </row>
    <row r="59">
      <c r="A59" s="14" t="inlineStr">
        <is>
          <t>Isac Zacarias</t>
        </is>
      </c>
      <c r="B59" s="14" t="inlineStr">
        <is>
          <t>Isac@WearCheckRS.com</t>
        </is>
      </c>
      <c r="C59" s="14" t="inlineStr">
        <is>
          <t>Isac</t>
        </is>
      </c>
      <c r="D59" s="14" t="inlineStr">
        <is>
          <t>Zacarias</t>
        </is>
      </c>
      <c r="E59" s="14" t="inlineStr">
        <is>
          <t>RS</t>
        </is>
      </c>
      <c r="F59" s="14" t="inlineStr">
        <is>
          <t>CM Technician</t>
        </is>
      </c>
      <c r="G59" s="14" t="inlineStr">
        <is>
          <t>ZA</t>
        </is>
      </c>
      <c r="H59" s="14" t="inlineStr">
        <is>
          <t>2021-11-30 14:34:34Z</t>
        </is>
      </c>
      <c r="I59" s="14" t="inlineStr">
        <is>
          <t>No</t>
        </is>
      </c>
      <c r="J59" s="14" t="inlineStr">
        <is>
          <t>Microsoft Defender for Office 365 (Plan 2)+Microsoft Fabric (Free)+Microsoft 365 Business Standard</t>
        </is>
      </c>
      <c r="K59" s="14" t="n">
        <v>3</v>
      </c>
    </row>
    <row r="60">
      <c r="A60" s="14" t="inlineStr">
        <is>
          <t>Ivan Langa</t>
        </is>
      </c>
      <c r="B60" s="14" t="inlineStr">
        <is>
          <t>Ivan@WearCheckRS.com</t>
        </is>
      </c>
      <c r="C60" s="14" t="inlineStr">
        <is>
          <t>Ivan</t>
        </is>
      </c>
      <c r="D60" s="14" t="inlineStr">
        <is>
          <t>Langa</t>
        </is>
      </c>
      <c r="E60" s="14" t="inlineStr">
        <is>
          <t>RS</t>
        </is>
      </c>
      <c r="F60" s="14" t="inlineStr">
        <is>
          <t>CM Technician</t>
        </is>
      </c>
      <c r="G60" s="14" t="inlineStr">
        <is>
          <t>ZA</t>
        </is>
      </c>
      <c r="H60" s="14" t="inlineStr">
        <is>
          <t>2021-11-30 14:36:17Z</t>
        </is>
      </c>
      <c r="I60" s="14" t="inlineStr">
        <is>
          <t>No</t>
        </is>
      </c>
      <c r="J60" s="14" t="inlineStr">
        <is>
          <t>Microsoft Defender for Office 365 (Plan 2)+Microsoft Fabric (Free)+Microsoft 365 Business Standard</t>
        </is>
      </c>
      <c r="K60" s="14" t="n">
        <v>3</v>
      </c>
    </row>
    <row r="61">
      <c r="A61" s="14" t="inlineStr">
        <is>
          <t>Jaco De Beer</t>
        </is>
      </c>
      <c r="B61" s="14" t="inlineStr">
        <is>
          <t>jacodb@WearCheckRS.com</t>
        </is>
      </c>
      <c r="C61" s="14" t="inlineStr">
        <is>
          <t>Jaco</t>
        </is>
      </c>
      <c r="D61" s="14" t="inlineStr">
        <is>
          <t>De Beer</t>
        </is>
      </c>
      <c r="E61" s="14" t="inlineStr"/>
      <c r="F61" s="14" t="inlineStr"/>
      <c r="G61" s="14" t="inlineStr">
        <is>
          <t>ZA</t>
        </is>
      </c>
      <c r="H61" s="14" t="inlineStr">
        <is>
          <t>2022-05-17 10:28:39Z</t>
        </is>
      </c>
      <c r="I61" s="14" t="inlineStr">
        <is>
          <t>No</t>
        </is>
      </c>
      <c r="J61" s="14" t="inlineStr">
        <is>
          <t>Microsoft Defender for Office 365 (Plan 2)+Microsoft 365 Business Standard</t>
        </is>
      </c>
      <c r="K61" s="14" t="n">
        <v>2</v>
      </c>
    </row>
    <row r="62">
      <c r="A62" s="14" t="inlineStr">
        <is>
          <t>Jaco Venter</t>
        </is>
      </c>
      <c r="B62" s="14" t="inlineStr">
        <is>
          <t>JacoV@WearCheckRS.com</t>
        </is>
      </c>
      <c r="C62" s="14" t="inlineStr">
        <is>
          <t>Jaco</t>
        </is>
      </c>
      <c r="D62" s="14" t="inlineStr">
        <is>
          <t>Venter</t>
        </is>
      </c>
      <c r="E62" s="14" t="inlineStr">
        <is>
          <t>NDT</t>
        </is>
      </c>
      <c r="F62" s="14" t="inlineStr"/>
      <c r="G62" s="14" t="inlineStr">
        <is>
          <t>ZA</t>
        </is>
      </c>
      <c r="H62" s="14" t="inlineStr">
        <is>
          <t>2026-01-23 10:25:39Z</t>
        </is>
      </c>
      <c r="I62" s="14" t="inlineStr">
        <is>
          <t>No</t>
        </is>
      </c>
      <c r="J62" s="14" t="inlineStr">
        <is>
          <t>Microsoft Defender for Office 365 (Plan 2)+Microsoft 365 Business Premium</t>
        </is>
      </c>
      <c r="K62" s="14" t="n">
        <v>2</v>
      </c>
    </row>
    <row r="63">
      <c r="A63" s="14" t="inlineStr">
        <is>
          <t>Jaco Willer</t>
        </is>
      </c>
      <c r="B63" s="14" t="inlineStr">
        <is>
          <t>jaco@wearcheckrs.com</t>
        </is>
      </c>
      <c r="C63" s="14" t="inlineStr">
        <is>
          <t>Jaco</t>
        </is>
      </c>
      <c r="D63" s="14" t="inlineStr">
        <is>
          <t>Willer</t>
        </is>
      </c>
      <c r="E63" s="14" t="inlineStr">
        <is>
          <t>RS</t>
        </is>
      </c>
      <c r="F63" s="14" t="inlineStr"/>
      <c r="G63" s="14" t="inlineStr">
        <is>
          <t>ZA</t>
        </is>
      </c>
      <c r="H63" s="14" t="inlineStr">
        <is>
          <t>2021-05-25 18:10:51Z</t>
        </is>
      </c>
      <c r="I63" s="14" t="inlineStr">
        <is>
          <t>No</t>
        </is>
      </c>
      <c r="J63" s="14" t="inlineStr">
        <is>
          <t>Microsoft 365 Business Premium+Microsoft Defender for Office 365 (Plan 2)+Microsoft Power Automate Free</t>
        </is>
      </c>
      <c r="K63" s="14" t="n">
        <v>3</v>
      </c>
    </row>
    <row r="64">
      <c r="A64" s="14" t="inlineStr">
        <is>
          <t>James Tshabalala</t>
        </is>
      </c>
      <c r="B64" s="14" t="inlineStr">
        <is>
          <t>james@WearCheckRS.com</t>
        </is>
      </c>
      <c r="C64" s="14" t="inlineStr">
        <is>
          <t>James</t>
        </is>
      </c>
      <c r="D64" s="14" t="inlineStr">
        <is>
          <t>Tshabalala</t>
        </is>
      </c>
      <c r="E64" s="14" t="inlineStr"/>
      <c r="F64" s="14" t="inlineStr"/>
      <c r="G64" s="14" t="inlineStr">
        <is>
          <t>ZA</t>
        </is>
      </c>
      <c r="H64" s="14" t="inlineStr">
        <is>
          <t>2022-05-16 09:58:15Z</t>
        </is>
      </c>
      <c r="I64" s="14" t="inlineStr">
        <is>
          <t>No</t>
        </is>
      </c>
      <c r="J64" s="14" t="inlineStr">
        <is>
          <t>Microsoft Defender for Office 365 (Plan 2)+Microsoft Power Automate Free+Microsoft Fabric (Free)+Microsoft 365 Business Standard</t>
        </is>
      </c>
      <c r="K64" s="14" t="n">
        <v>4</v>
      </c>
    </row>
    <row r="65">
      <c r="A65" s="14" t="inlineStr">
        <is>
          <t>Jean-Jacques</t>
        </is>
      </c>
      <c r="B65" s="14" t="inlineStr">
        <is>
          <t>jj@WearCheckRS.com</t>
        </is>
      </c>
      <c r="C65" s="14" t="inlineStr">
        <is>
          <t>Jaen-Jacques</t>
        </is>
      </c>
      <c r="D65" s="14" t="inlineStr">
        <is>
          <t>De Beer</t>
        </is>
      </c>
      <c r="E65" s="14" t="inlineStr">
        <is>
          <t>Remote Center</t>
        </is>
      </c>
      <c r="F65" s="14" t="inlineStr"/>
      <c r="G65" s="14" t="inlineStr">
        <is>
          <t>ZA</t>
        </is>
      </c>
      <c r="H65" s="14" t="inlineStr">
        <is>
          <t>2025-08-06 10:23:02Z</t>
        </is>
      </c>
      <c r="I65" s="14" t="inlineStr">
        <is>
          <t>No</t>
        </is>
      </c>
      <c r="J65" s="14" t="inlineStr">
        <is>
          <t>Microsoft 365 Business Premium+Microsoft Power Automate Free+Microsoft Fabric (Free)+Microsoft Defender for Office 365 (Plan 2)</t>
        </is>
      </c>
      <c r="K65" s="14" t="n">
        <v>4</v>
      </c>
    </row>
    <row r="66">
      <c r="A66" s="14" t="inlineStr">
        <is>
          <t>Jean Pierre Du Plessis</t>
        </is>
      </c>
      <c r="B66" s="14" t="inlineStr">
        <is>
          <t>Jean-Pierre@WearCheckRS.com</t>
        </is>
      </c>
      <c r="C66" s="14" t="inlineStr">
        <is>
          <t>Jean Pierre</t>
        </is>
      </c>
      <c r="D66" s="14" t="inlineStr">
        <is>
          <t>Du Plessis</t>
        </is>
      </c>
      <c r="E66" s="14" t="inlineStr">
        <is>
          <t>TC Department</t>
        </is>
      </c>
      <c r="F66" s="14" t="inlineStr">
        <is>
          <t>Machinery Inspector</t>
        </is>
      </c>
      <c r="G66" s="14" t="inlineStr">
        <is>
          <t>ZA</t>
        </is>
      </c>
      <c r="H66" s="14" t="inlineStr">
        <is>
          <t>2025-12-04 10:18:18Z</t>
        </is>
      </c>
      <c r="I66" s="14" t="inlineStr">
        <is>
          <t>No</t>
        </is>
      </c>
      <c r="J66" s="14" t="inlineStr">
        <is>
          <t>Microsoft 365 Business Standard+Microsoft Defender for Office 365 (Plan 2)</t>
        </is>
      </c>
      <c r="K66" s="14" t="n">
        <v>2</v>
      </c>
    </row>
    <row r="67">
      <c r="A67" s="14" t="inlineStr">
        <is>
          <t>Joe Kies</t>
        </is>
      </c>
      <c r="B67" s="14" t="inlineStr">
        <is>
          <t>Joe@WearCheckRS.com</t>
        </is>
      </c>
      <c r="C67" s="14" t="inlineStr">
        <is>
          <t>Joe</t>
        </is>
      </c>
      <c r="D67" s="14" t="inlineStr">
        <is>
          <t>Kies</t>
        </is>
      </c>
      <c r="E67" s="14" t="inlineStr"/>
      <c r="F67" s="14" t="inlineStr"/>
      <c r="G67" s="14" t="inlineStr">
        <is>
          <t>ZA</t>
        </is>
      </c>
      <c r="H67" s="14" t="inlineStr">
        <is>
          <t>2026-01-23 10:21:55Z</t>
        </is>
      </c>
      <c r="I67" s="14" t="inlineStr">
        <is>
          <t>No</t>
        </is>
      </c>
      <c r="J67" s="14" t="inlineStr">
        <is>
          <t>Microsoft Power Automate Free+Microsoft 365 Business Standard+Microsoft Power Apps Plan 2 Trial+Microsoft Fabric (Free)+Microsoft Copilot Studio Viral Trial+Microsoft Power Apps for Developer+Power Pages vTrial for Makers+Microsoft Defender for Office 365 (Plan 2)+Dynamics 365 Customer Insights Self-Service</t>
        </is>
      </c>
      <c r="K67" s="14" t="n">
        <v>9</v>
      </c>
    </row>
    <row r="68">
      <c r="A68" s="14" t="inlineStr">
        <is>
          <t>Johan Bekker</t>
        </is>
      </c>
      <c r="B68" s="14" t="inlineStr">
        <is>
          <t>JohanB@WearCheckRS.com</t>
        </is>
      </c>
      <c r="C68" s="14" t="inlineStr">
        <is>
          <t>Johan</t>
        </is>
      </c>
      <c r="D68" s="14" t="inlineStr">
        <is>
          <t>Bekker</t>
        </is>
      </c>
      <c r="E68" s="14" t="inlineStr"/>
      <c r="F68" s="14" t="inlineStr"/>
      <c r="G68" s="14" t="inlineStr">
        <is>
          <t>ZA</t>
        </is>
      </c>
      <c r="H68" s="14" t="inlineStr">
        <is>
          <t>2024-05-23 04:40:52Z</t>
        </is>
      </c>
      <c r="I68" s="14" t="inlineStr">
        <is>
          <t>No</t>
        </is>
      </c>
      <c r="J68" s="14" t="inlineStr">
        <is>
          <t>Microsoft Defender for Office 365 (Plan 2)+Microsoft Power Automate Free+Microsoft 365 Business Standard</t>
        </is>
      </c>
      <c r="K68" s="14" t="n">
        <v>3</v>
      </c>
    </row>
    <row r="69">
      <c r="A69" s="14" t="inlineStr">
        <is>
          <t>Johan Rossouw</t>
        </is>
      </c>
      <c r="B69" s="14" t="inlineStr">
        <is>
          <t>JohanR@WearCheckRS.com</t>
        </is>
      </c>
      <c r="C69" s="14" t="inlineStr">
        <is>
          <t>Johan</t>
        </is>
      </c>
      <c r="D69" s="14" t="inlineStr">
        <is>
          <t>Rossouw</t>
        </is>
      </c>
      <c r="E69" s="14" t="inlineStr"/>
      <c r="F69" s="14" t="inlineStr"/>
      <c r="G69" s="14" t="inlineStr">
        <is>
          <t>ZA</t>
        </is>
      </c>
      <c r="H69" s="14" t="inlineStr">
        <is>
          <t>2025-02-20 16:33:48Z</t>
        </is>
      </c>
      <c r="I69" s="14" t="inlineStr">
        <is>
          <t>No</t>
        </is>
      </c>
      <c r="J69" s="14" t="inlineStr">
        <is>
          <t>Microsoft Defender for Office 365 (Plan 2)+Microsoft 365 Business Standard</t>
        </is>
      </c>
      <c r="K69" s="14" t="n">
        <v>2</v>
      </c>
    </row>
    <row r="70">
      <c r="A70" s="14" t="inlineStr">
        <is>
          <t>Johan Stols</t>
        </is>
      </c>
      <c r="B70" s="14" t="inlineStr">
        <is>
          <t>Johan.Stols@WearCheckRS.com</t>
        </is>
      </c>
      <c r="C70" s="14" t="inlineStr">
        <is>
          <t>Johan</t>
        </is>
      </c>
      <c r="D70" s="14" t="inlineStr">
        <is>
          <t>Stols</t>
        </is>
      </c>
      <c r="E70" s="14" t="inlineStr"/>
      <c r="F70" s="14" t="inlineStr"/>
      <c r="G70" s="14" t="inlineStr">
        <is>
          <t>ZA</t>
        </is>
      </c>
      <c r="H70" s="14" t="inlineStr">
        <is>
          <t>2022-01-24 14:51:24Z</t>
        </is>
      </c>
      <c r="I70" s="14" t="inlineStr">
        <is>
          <t>No</t>
        </is>
      </c>
      <c r="J70" s="14" t="inlineStr">
        <is>
          <t>Microsoft Defender for Office 365 (Plan 2)+Microsoft Power Automate Free+Microsoft 365 Business Standard</t>
        </is>
      </c>
      <c r="K70" s="14" t="n">
        <v>3</v>
      </c>
    </row>
    <row r="71">
      <c r="A71" s="14" t="inlineStr">
        <is>
          <t>Johandre Oosthuizen</t>
        </is>
      </c>
      <c r="B71" s="14" t="inlineStr">
        <is>
          <t>johandre@WearCheckRS.com</t>
        </is>
      </c>
      <c r="C71" s="14" t="inlineStr">
        <is>
          <t>Johandre</t>
        </is>
      </c>
      <c r="D71" s="14" t="inlineStr">
        <is>
          <t>Oosthuizen</t>
        </is>
      </c>
      <c r="E71" s="14" t="inlineStr"/>
      <c r="F71" s="14" t="inlineStr"/>
      <c r="G71" s="14" t="inlineStr">
        <is>
          <t>ZA</t>
        </is>
      </c>
      <c r="H71" s="14" t="inlineStr">
        <is>
          <t>2022-05-16 10:03:03Z</t>
        </is>
      </c>
      <c r="I71" s="14" t="inlineStr">
        <is>
          <t>No</t>
        </is>
      </c>
      <c r="J71" s="14" t="inlineStr">
        <is>
          <t>Microsoft Defender for Office 365 (Plan 2)+Microsoft 365 Business Standard</t>
        </is>
      </c>
      <c r="K71" s="14" t="n">
        <v>2</v>
      </c>
    </row>
    <row r="72">
      <c r="A72" s="14" t="inlineStr">
        <is>
          <t>jordanlionmasters</t>
        </is>
      </c>
      <c r="B72" s="14" t="inlineStr">
        <is>
          <t>jordanlionmasters_gmail.com#EXT#@wearcheckrs.onmicrosoft.com</t>
        </is>
      </c>
      <c r="C72" s="14" t="inlineStr"/>
      <c r="D72" s="14" t="inlineStr"/>
      <c r="E72" s="14" t="inlineStr"/>
      <c r="F72" s="14" t="inlineStr"/>
      <c r="G72" s="14" t="inlineStr">
        <is>
          <t>ZA</t>
        </is>
      </c>
      <c r="H72" s="14" t="inlineStr">
        <is>
          <t>2024-06-14 10:32:59Z</t>
        </is>
      </c>
      <c r="I72" s="14" t="inlineStr">
        <is>
          <t>No</t>
        </is>
      </c>
      <c r="J72" s="14" t="inlineStr">
        <is>
          <t>Microsoft Fabric (Free)</t>
        </is>
      </c>
      <c r="K72" s="14" t="n">
        <v>1</v>
      </c>
    </row>
    <row r="73">
      <c r="A73" s="14" t="inlineStr">
        <is>
          <t>Kenneth Moremi</t>
        </is>
      </c>
      <c r="B73" s="14" t="inlineStr">
        <is>
          <t>kenneth@WearCheckRS.com</t>
        </is>
      </c>
      <c r="C73" s="14" t="inlineStr">
        <is>
          <t>Kenneth</t>
        </is>
      </c>
      <c r="D73" s="14" t="inlineStr">
        <is>
          <t>Moremi</t>
        </is>
      </c>
      <c r="E73" s="14" t="inlineStr"/>
      <c r="F73" s="14" t="inlineStr"/>
      <c r="G73" s="14" t="inlineStr">
        <is>
          <t>ZA</t>
        </is>
      </c>
      <c r="H73" s="14" t="inlineStr">
        <is>
          <t>2022-02-10 14:40:22Z</t>
        </is>
      </c>
      <c r="I73" s="14" t="inlineStr">
        <is>
          <t>No</t>
        </is>
      </c>
      <c r="J73" s="14" t="inlineStr">
        <is>
          <t>Microsoft Defender for Office 365 (Plan 2)+Microsoft 365 Business Standard</t>
        </is>
      </c>
      <c r="K73" s="14" t="n">
        <v>2</v>
      </c>
    </row>
    <row r="74">
      <c r="A74" s="14" t="inlineStr">
        <is>
          <t>Kevin  Henwood</t>
        </is>
      </c>
      <c r="B74" s="14" t="inlineStr">
        <is>
          <t>Kevin@WearCheckRS.com</t>
        </is>
      </c>
      <c r="C74" s="14" t="inlineStr">
        <is>
          <t>Kevin</t>
        </is>
      </c>
      <c r="D74" s="14" t="inlineStr">
        <is>
          <t>Henwood</t>
        </is>
      </c>
      <c r="E74" s="14" t="inlineStr"/>
      <c r="F74" s="14" t="inlineStr"/>
      <c r="G74" s="14" t="inlineStr">
        <is>
          <t>ZA</t>
        </is>
      </c>
      <c r="H74" s="14" t="inlineStr">
        <is>
          <t>2025-02-11 13:42:56Z</t>
        </is>
      </c>
      <c r="I74" s="14" t="inlineStr">
        <is>
          <t>No</t>
        </is>
      </c>
      <c r="J74" s="14" t="inlineStr">
        <is>
          <t>Microsoft Defender for Office 365 (Plan 2)+Microsoft 365 Business Standard</t>
        </is>
      </c>
      <c r="K74" s="14" t="n">
        <v>2</v>
      </c>
    </row>
    <row r="75">
      <c r="A75" s="14" t="inlineStr">
        <is>
          <t>Kevin Jonker</t>
        </is>
      </c>
      <c r="B75" s="14" t="inlineStr">
        <is>
          <t>kevinj@WearCheckRS.com</t>
        </is>
      </c>
      <c r="C75" s="14" t="inlineStr">
        <is>
          <t>Kevin</t>
        </is>
      </c>
      <c r="D75" s="14" t="inlineStr">
        <is>
          <t>Jonker</t>
        </is>
      </c>
      <c r="E75" s="14" t="inlineStr">
        <is>
          <t>RS North West</t>
        </is>
      </c>
      <c r="F75" s="14" t="inlineStr"/>
      <c r="G75" s="14" t="inlineStr">
        <is>
          <t>ZA</t>
        </is>
      </c>
      <c r="H75" s="14" t="inlineStr">
        <is>
          <t>2021-04-15 16:14:21Z</t>
        </is>
      </c>
      <c r="I75" s="14" t="inlineStr">
        <is>
          <t>No</t>
        </is>
      </c>
      <c r="J75" s="14" t="inlineStr">
        <is>
          <t>Microsoft Fabric (Free)+Microsoft Power Automate Free</t>
        </is>
      </c>
      <c r="K75" s="14" t="n">
        <v>2</v>
      </c>
    </row>
    <row r="76">
      <c r="A76" s="14" t="inlineStr">
        <is>
          <t>Khotso Mosala</t>
        </is>
      </c>
      <c r="B76" s="14" t="inlineStr">
        <is>
          <t>Khotso@WearCheckRS.com</t>
        </is>
      </c>
      <c r="C76" s="14" t="inlineStr">
        <is>
          <t>Khotso</t>
        </is>
      </c>
      <c r="D76" s="14" t="inlineStr">
        <is>
          <t>Mosala</t>
        </is>
      </c>
      <c r="E76" s="14" t="inlineStr"/>
      <c r="F76" s="14" t="inlineStr"/>
      <c r="G76" s="14" t="inlineStr">
        <is>
          <t>ZA</t>
        </is>
      </c>
      <c r="H76" s="14" t="inlineStr">
        <is>
          <t>2025-02-20 16:35:29Z</t>
        </is>
      </c>
      <c r="I76" s="14" t="inlineStr">
        <is>
          <t>No</t>
        </is>
      </c>
      <c r="J76" s="14" t="inlineStr">
        <is>
          <t>Microsoft Defender for Office 365 (Plan 2)+Microsoft 365 Business Standard</t>
        </is>
      </c>
      <c r="K76" s="14" t="n">
        <v>2</v>
      </c>
    </row>
    <row r="77">
      <c r="A77" s="14" t="inlineStr">
        <is>
          <t>Landus Walters</t>
        </is>
      </c>
      <c r="B77" s="14" t="inlineStr">
        <is>
          <t>Landus@WearCheckRS.com</t>
        </is>
      </c>
      <c r="C77" s="14" t="inlineStr">
        <is>
          <t>Landus</t>
        </is>
      </c>
      <c r="D77" s="14" t="inlineStr">
        <is>
          <t>Walters</t>
        </is>
      </c>
      <c r="E77" s="14" t="inlineStr"/>
      <c r="F77" s="14" t="inlineStr"/>
      <c r="G77" s="14" t="inlineStr">
        <is>
          <t>ZA</t>
        </is>
      </c>
      <c r="H77" s="14" t="inlineStr">
        <is>
          <t>2025-02-20 16:46:06Z</t>
        </is>
      </c>
      <c r="I77" s="14" t="inlineStr">
        <is>
          <t>No</t>
        </is>
      </c>
      <c r="J77" s="14" t="inlineStr">
        <is>
          <t>Microsoft Defender for Office 365 (Plan 2)+Microsoft 365 Business Standard</t>
        </is>
      </c>
      <c r="K77" s="14" t="n">
        <v>2</v>
      </c>
    </row>
    <row r="78">
      <c r="A78" s="14" t="inlineStr">
        <is>
          <t>Lea Bodenstein</t>
        </is>
      </c>
      <c r="B78" s="14" t="inlineStr">
        <is>
          <t>Lea@WearCheckRS.com</t>
        </is>
      </c>
      <c r="C78" s="14" t="inlineStr">
        <is>
          <t>Lea</t>
        </is>
      </c>
      <c r="D78" s="14" t="inlineStr">
        <is>
          <t>Bodenstein</t>
        </is>
      </c>
      <c r="E78" s="14" t="inlineStr"/>
      <c r="F78" s="14" t="inlineStr"/>
      <c r="G78" s="14" t="inlineStr">
        <is>
          <t>ZA</t>
        </is>
      </c>
      <c r="H78" s="14" t="inlineStr">
        <is>
          <t>2023-03-15 12:34:41Z</t>
        </is>
      </c>
      <c r="I78" s="14" t="inlineStr">
        <is>
          <t>No</t>
        </is>
      </c>
      <c r="J78" s="14" t="inlineStr">
        <is>
          <t>Microsoft 365 Business Premium+Microsoft Defender for Office 365 (Plan 2)+Microsoft Fabric (Free)</t>
        </is>
      </c>
      <c r="K78" s="14" t="n">
        <v>3</v>
      </c>
    </row>
    <row r="79">
      <c r="A79" s="14" t="inlineStr">
        <is>
          <t>Leon Coetzee</t>
        </is>
      </c>
      <c r="B79" s="14" t="inlineStr">
        <is>
          <t>leon@WearCheckRS.com</t>
        </is>
      </c>
      <c r="C79" s="14" t="inlineStr">
        <is>
          <t>Leon</t>
        </is>
      </c>
      <c r="D79" s="14" t="inlineStr">
        <is>
          <t>Coetzee</t>
        </is>
      </c>
      <c r="E79" s="14" t="inlineStr"/>
      <c r="F79" s="14" t="inlineStr"/>
      <c r="G79" s="14" t="inlineStr">
        <is>
          <t>ZA</t>
        </is>
      </c>
      <c r="H79" s="14" t="inlineStr">
        <is>
          <t>2022-05-16 10:12:10Z</t>
        </is>
      </c>
      <c r="I79" s="14" t="inlineStr">
        <is>
          <t>No</t>
        </is>
      </c>
      <c r="J79" s="14" t="inlineStr">
        <is>
          <t>Microsoft Defender for Office 365 (Plan 2)+Microsoft Power Automate Free+Microsoft 365 Business Standard</t>
        </is>
      </c>
      <c r="K79" s="14" t="n">
        <v>3</v>
      </c>
    </row>
    <row r="80">
      <c r="A80" s="14" t="inlineStr">
        <is>
          <t>Lesego Khuthwane</t>
        </is>
      </c>
      <c r="B80" s="14" t="inlineStr">
        <is>
          <t>Lesego@WearCheckRS.com</t>
        </is>
      </c>
      <c r="C80" s="14" t="inlineStr">
        <is>
          <t>Lesego</t>
        </is>
      </c>
      <c r="D80" s="14" t="inlineStr">
        <is>
          <t>Khuthwane</t>
        </is>
      </c>
      <c r="E80" s="14" t="inlineStr">
        <is>
          <t>Remote Centre</t>
        </is>
      </c>
      <c r="F80" s="14" t="inlineStr">
        <is>
          <t>Remote Centre Administrator</t>
        </is>
      </c>
      <c r="G80" s="14" t="inlineStr">
        <is>
          <t>ZA</t>
        </is>
      </c>
      <c r="H80" s="14" t="inlineStr">
        <is>
          <t>2024-04-04 07:23:25Z</t>
        </is>
      </c>
      <c r="I80" s="14" t="inlineStr">
        <is>
          <t>No</t>
        </is>
      </c>
      <c r="J80" s="14" t="inlineStr">
        <is>
          <t>Microsoft 365 E3+Power BI Premium Per User+Microsoft Defender for Office 365 (Plan 2)+Microsoft Power Apps for Developer+Power Pages vTrial for Makers+Microsoft Fabric (Free)+Microsoft Power Apps Plan 2 Trial+Microsoft Copilot Studio Viral Trial+Microsoft Power Automate Free</t>
        </is>
      </c>
      <c r="K80" s="14" t="n">
        <v>9</v>
      </c>
    </row>
    <row r="81">
      <c r="A81" s="14" t="inlineStr">
        <is>
          <t>Lloyd Ngobeni</t>
        </is>
      </c>
      <c r="B81" s="14" t="inlineStr">
        <is>
          <t>Lloyd@WearCheckRS.com</t>
        </is>
      </c>
      <c r="C81" s="14" t="inlineStr">
        <is>
          <t>Lloyd</t>
        </is>
      </c>
      <c r="D81" s="14" t="inlineStr">
        <is>
          <t>Ngobeni</t>
        </is>
      </c>
      <c r="E81" s="14" t="inlineStr">
        <is>
          <t>RS</t>
        </is>
      </c>
      <c r="F81" s="14" t="inlineStr">
        <is>
          <t>NDT Technician</t>
        </is>
      </c>
      <c r="G81" s="14" t="inlineStr">
        <is>
          <t>ZA</t>
        </is>
      </c>
      <c r="H81" s="14" t="inlineStr">
        <is>
          <t>2021-10-27 08:21:15Z</t>
        </is>
      </c>
      <c r="I81" s="14" t="inlineStr">
        <is>
          <t>No</t>
        </is>
      </c>
      <c r="J81" s="14" t="inlineStr">
        <is>
          <t>Microsoft Defender for Office 365 (Plan 2)+Microsoft Power Automate Free+Microsoft 365 Business Standard</t>
        </is>
      </c>
      <c r="K81" s="14" t="n">
        <v>3</v>
      </c>
    </row>
    <row r="82">
      <c r="A82" s="14" t="inlineStr">
        <is>
          <t>Londolani  Managa</t>
        </is>
      </c>
      <c r="B82" s="14" t="inlineStr">
        <is>
          <t>LondolaniM@WearCheckRS.com</t>
        </is>
      </c>
      <c r="C82" s="14" t="inlineStr">
        <is>
          <t>Londolani</t>
        </is>
      </c>
      <c r="D82" s="14" t="inlineStr">
        <is>
          <t>Managa</t>
        </is>
      </c>
      <c r="E82" s="14" t="inlineStr">
        <is>
          <t>Wearcheck ARC</t>
        </is>
      </c>
      <c r="F82" s="14" t="inlineStr"/>
      <c r="G82" s="14" t="inlineStr">
        <is>
          <t>ZA</t>
        </is>
      </c>
      <c r="H82" s="14" t="inlineStr">
        <is>
          <t>2024-06-04 10:01:22Z</t>
        </is>
      </c>
      <c r="I82" s="14" t="inlineStr">
        <is>
          <t>No</t>
        </is>
      </c>
      <c r="J82" s="14" t="inlineStr">
        <is>
          <t>Microsoft Defender for Office 365 (Plan 2)+Microsoft 365 Business Standard</t>
        </is>
      </c>
      <c r="K82" s="14" t="n">
        <v>2</v>
      </c>
    </row>
    <row r="83">
      <c r="A83" s="14" t="inlineStr">
        <is>
          <t>Lorraine Mokgethi</t>
        </is>
      </c>
      <c r="B83" s="14" t="inlineStr">
        <is>
          <t>Lorraine@WearCheckRS.com</t>
        </is>
      </c>
      <c r="C83" s="14" t="inlineStr">
        <is>
          <t>Lorraine</t>
        </is>
      </c>
      <c r="D83" s="14" t="inlineStr">
        <is>
          <t>Mokgethi</t>
        </is>
      </c>
      <c r="E83" s="14" t="inlineStr">
        <is>
          <t>NDT</t>
        </is>
      </c>
      <c r="F83" s="14" t="inlineStr"/>
      <c r="G83" s="14" t="inlineStr">
        <is>
          <t>ZA</t>
        </is>
      </c>
      <c r="H83" s="14" t="inlineStr">
        <is>
          <t>2026-01-23 10:27:51Z</t>
        </is>
      </c>
      <c r="I83" s="14" t="inlineStr">
        <is>
          <t>No</t>
        </is>
      </c>
      <c r="J83" s="14" t="inlineStr">
        <is>
          <t>Microsoft Defender for Office 365 (Plan 2)+Microsoft 365 Business Premium</t>
        </is>
      </c>
      <c r="K83" s="14" t="n">
        <v>2</v>
      </c>
    </row>
    <row r="84">
      <c r="A84" s="14" t="inlineStr">
        <is>
          <t>Louis Peacock</t>
        </is>
      </c>
      <c r="B84" s="14" t="inlineStr">
        <is>
          <t>louis@WearCheckRS.com</t>
        </is>
      </c>
      <c r="C84" s="14" t="inlineStr">
        <is>
          <t>Louis</t>
        </is>
      </c>
      <c r="D84" s="14" t="inlineStr">
        <is>
          <t>Peacock</t>
        </is>
      </c>
      <c r="E84" s="14" t="inlineStr">
        <is>
          <t>WearCheck Reliability Solutions</t>
        </is>
      </c>
      <c r="F84" s="14" t="inlineStr">
        <is>
          <t>Technical Manager</t>
        </is>
      </c>
      <c r="G84" s="14" t="inlineStr">
        <is>
          <t>ZA</t>
        </is>
      </c>
      <c r="H84" s="14" t="inlineStr">
        <is>
          <t>2019-03-07 15:25:18Z</t>
        </is>
      </c>
      <c r="I84" s="14" t="inlineStr">
        <is>
          <t>No</t>
        </is>
      </c>
      <c r="J84" s="14" t="inlineStr">
        <is>
          <t>Microsoft Defender for Office 365 (Plan 2)+Power BI Premium Per User+Microsoft 365 E3+Microsoft Power Automate Free</t>
        </is>
      </c>
      <c r="K84" s="14" t="n">
        <v>4</v>
      </c>
    </row>
    <row r="85">
      <c r="A85" s="14" t="inlineStr">
        <is>
          <t>Louis Zoho</t>
        </is>
      </c>
      <c r="B85" s="14" t="inlineStr">
        <is>
          <t>Louis_Zoho@WearCheckRS.com</t>
        </is>
      </c>
      <c r="C85" s="14" t="inlineStr">
        <is>
          <t>Louis</t>
        </is>
      </c>
      <c r="D85" s="14" t="inlineStr"/>
      <c r="E85" s="14" t="inlineStr"/>
      <c r="F85" s="14" t="inlineStr">
        <is>
          <t>Technical Manager</t>
        </is>
      </c>
      <c r="G85" s="14" t="inlineStr">
        <is>
          <t>ZA</t>
        </is>
      </c>
      <c r="H85" s="14" t="inlineStr">
        <is>
          <t>2025-08-21 12:49:57Z</t>
        </is>
      </c>
      <c r="I85" s="14" t="inlineStr">
        <is>
          <t>No</t>
        </is>
      </c>
      <c r="J85" s="14" t="inlineStr">
        <is>
          <t>Microsoft 365 Business Standard</t>
        </is>
      </c>
      <c r="K85" s="14" t="n">
        <v>1</v>
      </c>
    </row>
    <row r="86">
      <c r="A86" s="14" t="inlineStr">
        <is>
          <t>Lubby Lubis</t>
        </is>
      </c>
      <c r="B86" s="14" t="inlineStr">
        <is>
          <t>lubby@WearCheckRS.com</t>
        </is>
      </c>
      <c r="C86" s="14" t="inlineStr">
        <is>
          <t>Lubby</t>
        </is>
      </c>
      <c r="D86" s="14" t="inlineStr">
        <is>
          <t>Lubis</t>
        </is>
      </c>
      <c r="E86" s="14" t="inlineStr">
        <is>
          <t>ARC</t>
        </is>
      </c>
      <c r="F86" s="14" t="inlineStr"/>
      <c r="G86" s="14" t="inlineStr">
        <is>
          <t>ZA</t>
        </is>
      </c>
      <c r="H86" s="14" t="inlineStr">
        <is>
          <t>2023-06-05 08:41:09Z</t>
        </is>
      </c>
      <c r="I86" s="14" t="inlineStr">
        <is>
          <t>No</t>
        </is>
      </c>
      <c r="J86" s="14" t="inlineStr">
        <is>
          <t>Microsoft Defender for Office 365 (Plan 2)+Microsoft 365 Business Standard</t>
        </is>
      </c>
      <c r="K86" s="14" t="n">
        <v>2</v>
      </c>
    </row>
    <row r="87">
      <c r="A87" s="14" t="inlineStr">
        <is>
          <t>Lucas Luus</t>
        </is>
      </c>
      <c r="B87" s="14" t="inlineStr">
        <is>
          <t>lucas@WearCheckRS.com</t>
        </is>
      </c>
      <c r="C87" s="14" t="inlineStr">
        <is>
          <t>Lucas</t>
        </is>
      </c>
      <c r="D87" s="14" t="inlineStr">
        <is>
          <t>Luus</t>
        </is>
      </c>
      <c r="E87" s="14" t="inlineStr"/>
      <c r="F87" s="14" t="inlineStr"/>
      <c r="G87" s="14" t="inlineStr">
        <is>
          <t>ZA</t>
        </is>
      </c>
      <c r="H87" s="14" t="inlineStr">
        <is>
          <t>2022-05-16 10:12:59Z</t>
        </is>
      </c>
      <c r="I87" s="14" t="inlineStr">
        <is>
          <t>No</t>
        </is>
      </c>
      <c r="J87" s="14" t="inlineStr">
        <is>
          <t>Microsoft Defender for Office 365 (Plan 2)+Microsoft 365 Business Standard</t>
        </is>
      </c>
      <c r="K87" s="14" t="n">
        <v>2</v>
      </c>
    </row>
    <row r="88">
      <c r="A88" s="14" t="inlineStr">
        <is>
          <t>Mandé Coetzee</t>
        </is>
      </c>
      <c r="B88" s="14" t="inlineStr">
        <is>
          <t>Mande@WearCheckRS.com</t>
        </is>
      </c>
      <c r="C88" s="14" t="inlineStr">
        <is>
          <t>Mandé</t>
        </is>
      </c>
      <c r="D88" s="14" t="inlineStr">
        <is>
          <t>Coetzee</t>
        </is>
      </c>
      <c r="E88" s="14" t="inlineStr">
        <is>
          <t>ARC</t>
        </is>
      </c>
      <c r="F88" s="14" t="inlineStr">
        <is>
          <t>Administrator</t>
        </is>
      </c>
      <c r="G88" s="14" t="inlineStr">
        <is>
          <t>ZA</t>
        </is>
      </c>
      <c r="H88" s="14" t="inlineStr">
        <is>
          <t>2023-07-13 11:47:34Z</t>
        </is>
      </c>
      <c r="I88" s="14" t="inlineStr">
        <is>
          <t>No</t>
        </is>
      </c>
      <c r="J88" s="14" t="inlineStr">
        <is>
          <t>Microsoft Defender for Office 365 (Plan 2)+Microsoft Fabric (Free)+Microsoft Power Automate Free+Microsoft 365 E3</t>
        </is>
      </c>
      <c r="K88" s="14" t="n">
        <v>4</v>
      </c>
    </row>
    <row r="89">
      <c r="A89" s="14" t="inlineStr">
        <is>
          <t>Mandiso Muchanga</t>
        </is>
      </c>
      <c r="B89" s="14" t="inlineStr">
        <is>
          <t>Mandiso@WearCheckRS.com</t>
        </is>
      </c>
      <c r="C89" s="14" t="inlineStr">
        <is>
          <t>Mandiso</t>
        </is>
      </c>
      <c r="D89" s="14" t="inlineStr">
        <is>
          <t>Muchanga</t>
        </is>
      </c>
      <c r="E89" s="14" t="inlineStr"/>
      <c r="F89" s="14" t="inlineStr"/>
      <c r="G89" s="14" t="inlineStr">
        <is>
          <t>ZA</t>
        </is>
      </c>
      <c r="H89" s="14" t="inlineStr">
        <is>
          <t>2024-10-21 08:37:26Z</t>
        </is>
      </c>
      <c r="I89" s="14" t="inlineStr">
        <is>
          <t>No</t>
        </is>
      </c>
      <c r="J89" s="14" t="inlineStr">
        <is>
          <t>Microsoft Defender for Office 365 (Plan 2)+Microsoft 365 Business Standard</t>
        </is>
      </c>
      <c r="K89" s="14" t="n">
        <v>2</v>
      </c>
    </row>
    <row r="90">
      <c r="A90" s="14" t="inlineStr">
        <is>
          <t>Marcel Schoeman</t>
        </is>
      </c>
      <c r="B90" s="14" t="inlineStr">
        <is>
          <t>Marcel@WearCheckRS.com</t>
        </is>
      </c>
      <c r="C90" s="14" t="inlineStr">
        <is>
          <t>Marcel</t>
        </is>
      </c>
      <c r="D90" s="14" t="inlineStr">
        <is>
          <t>Schoeman</t>
        </is>
      </c>
      <c r="E90" s="14" t="inlineStr"/>
      <c r="F90" s="14" t="inlineStr"/>
      <c r="G90" s="14" t="inlineStr">
        <is>
          <t>ZA</t>
        </is>
      </c>
      <c r="H90" s="14" t="inlineStr">
        <is>
          <t>2021-09-01 13:17:37Z</t>
        </is>
      </c>
      <c r="I90" s="14" t="inlineStr">
        <is>
          <t>No</t>
        </is>
      </c>
      <c r="J90" s="14" t="inlineStr">
        <is>
          <t>Microsoft 365 Business Premium+Microsoft Defender for Office 365 (Plan 2)+Microsoft Fabric (Free)</t>
        </is>
      </c>
      <c r="K90" s="14" t="n">
        <v>3</v>
      </c>
    </row>
    <row r="91">
      <c r="A91" s="14" t="inlineStr">
        <is>
          <t>Mariette Du Rand</t>
        </is>
      </c>
      <c r="B91" s="14" t="inlineStr">
        <is>
          <t>mariette@WearCheckRS.com</t>
        </is>
      </c>
      <c r="C91" s="14" t="inlineStr">
        <is>
          <t>Mariette</t>
        </is>
      </c>
      <c r="D91" s="14" t="inlineStr">
        <is>
          <t>Du Rand</t>
        </is>
      </c>
      <c r="E91" s="14" t="inlineStr"/>
      <c r="F91" s="14" t="inlineStr"/>
      <c r="G91" s="14" t="inlineStr">
        <is>
          <t>ZA</t>
        </is>
      </c>
      <c r="H91" s="14" t="inlineStr">
        <is>
          <t>2022-05-16 10:14:48Z</t>
        </is>
      </c>
      <c r="I91" s="14" t="inlineStr">
        <is>
          <t>No</t>
        </is>
      </c>
      <c r="J91" s="14" t="inlineStr">
        <is>
          <t>Microsoft 365 Business Premium+Microsoft Defender for Office 365 (Plan 2)</t>
        </is>
      </c>
      <c r="K91" s="14" t="n">
        <v>2</v>
      </c>
    </row>
    <row r="92">
      <c r="A92" s="14" t="inlineStr">
        <is>
          <t>Marshall Rasimphi</t>
        </is>
      </c>
      <c r="B92" s="14" t="inlineStr">
        <is>
          <t>marshallr@WearCheckRS.com</t>
        </is>
      </c>
      <c r="C92" s="14" t="inlineStr">
        <is>
          <t>Marshall</t>
        </is>
      </c>
      <c r="D92" s="14" t="inlineStr">
        <is>
          <t>Rasimphi</t>
        </is>
      </c>
      <c r="E92" s="14" t="inlineStr">
        <is>
          <t>RS North West</t>
        </is>
      </c>
      <c r="F92" s="14" t="inlineStr"/>
      <c r="G92" s="14" t="inlineStr">
        <is>
          <t>ZA</t>
        </is>
      </c>
      <c r="H92" s="14" t="inlineStr">
        <is>
          <t>2021-04-15 16:16:04Z</t>
        </is>
      </c>
      <c r="I92" s="14" t="inlineStr">
        <is>
          <t>No</t>
        </is>
      </c>
      <c r="J92" s="14" t="inlineStr">
        <is>
          <t>Microsoft Defender for Office 365 (Plan 2)+Microsoft 365 Business Standard</t>
        </is>
      </c>
      <c r="K92" s="14" t="n">
        <v>2</v>
      </c>
    </row>
    <row r="93">
      <c r="A93" s="14" t="inlineStr">
        <is>
          <t>Marthinus Admin Account</t>
        </is>
      </c>
      <c r="B93" s="14" t="inlineStr">
        <is>
          <t>marthinus_admin@wearcheckrs.com</t>
        </is>
      </c>
      <c r="C93" s="14" t="inlineStr">
        <is>
          <t>Marthinus</t>
        </is>
      </c>
      <c r="D93" s="14" t="inlineStr">
        <is>
          <t>Steenkamp</t>
        </is>
      </c>
      <c r="E93" s="14" t="inlineStr"/>
      <c r="F93" s="14" t="inlineStr"/>
      <c r="G93" s="14" t="inlineStr">
        <is>
          <t>ZA</t>
        </is>
      </c>
      <c r="H93" s="14" t="inlineStr">
        <is>
          <t>2022-12-10 11:06:43Z</t>
        </is>
      </c>
      <c r="I93" s="14" t="inlineStr">
        <is>
          <t>No</t>
        </is>
      </c>
      <c r="J93" s="14" t="inlineStr">
        <is>
          <t>Microsoft Power Automate Free+Microsoft Fabric (Free)</t>
        </is>
      </c>
      <c r="K93" s="14" t="n">
        <v>2</v>
      </c>
    </row>
    <row r="94">
      <c r="A94" s="14" t="inlineStr">
        <is>
          <t>Marthinus Steenkamp</t>
        </is>
      </c>
      <c r="B94" s="14" t="inlineStr">
        <is>
          <t>Marthinus@WearCheckRS.com</t>
        </is>
      </c>
      <c r="C94" s="14" t="inlineStr">
        <is>
          <t>Marthinus</t>
        </is>
      </c>
      <c r="D94" s="14" t="inlineStr">
        <is>
          <t>Steenkamp</t>
        </is>
      </c>
      <c r="E94" s="14" t="inlineStr"/>
      <c r="F94" s="14" t="inlineStr"/>
      <c r="G94" s="14" t="inlineStr">
        <is>
          <t>ZA</t>
        </is>
      </c>
      <c r="H94" s="14" t="inlineStr">
        <is>
          <t>2020-11-11 14:51:25Z</t>
        </is>
      </c>
      <c r="I94" s="14" t="inlineStr">
        <is>
          <t>No</t>
        </is>
      </c>
      <c r="J94" s="14" t="inlineStr">
        <is>
          <t>Microsoft Defender for Office 365 (Plan 2)+Microsoft 365 E3+Microsoft Fabric (Free)</t>
        </is>
      </c>
      <c r="K94" s="14" t="n">
        <v>3</v>
      </c>
    </row>
    <row r="95">
      <c r="A95" s="14" t="inlineStr">
        <is>
          <t>Martiens Van Aarde</t>
        </is>
      </c>
      <c r="B95" s="14" t="inlineStr">
        <is>
          <t>martiens@WearCheckRS.com</t>
        </is>
      </c>
      <c r="C95" s="14" t="inlineStr">
        <is>
          <t>Martiens</t>
        </is>
      </c>
      <c r="D95" s="14" t="inlineStr">
        <is>
          <t>Van Aarde</t>
        </is>
      </c>
      <c r="E95" s="14" t="inlineStr"/>
      <c r="F95" s="14" t="inlineStr"/>
      <c r="G95" s="14" t="inlineStr">
        <is>
          <t>ZA</t>
        </is>
      </c>
      <c r="H95" s="14" t="inlineStr">
        <is>
          <t>2022-02-10 14:37:09Z</t>
        </is>
      </c>
      <c r="I95" s="14" t="inlineStr">
        <is>
          <t>No</t>
        </is>
      </c>
      <c r="J95" s="14" t="inlineStr">
        <is>
          <t>Microsoft Power Automate Free+Microsoft Defender for Office 365 (Plan 2)+Microsoft 365 Business Standard</t>
        </is>
      </c>
      <c r="K95" s="14" t="n">
        <v>3</v>
      </c>
    </row>
    <row r="96">
      <c r="A96" s="14" t="inlineStr">
        <is>
          <t>Martin Prinsloo</t>
        </is>
      </c>
      <c r="B96" s="14" t="inlineStr">
        <is>
          <t>martin.prinsloo@WearCheckRS.com</t>
        </is>
      </c>
      <c r="C96" s="14" t="inlineStr"/>
      <c r="D96" s="14" t="inlineStr"/>
      <c r="E96" s="14" t="inlineStr"/>
      <c r="F96" s="14" t="inlineStr"/>
      <c r="G96" s="14" t="inlineStr">
        <is>
          <t>ZA</t>
        </is>
      </c>
      <c r="H96" s="14" t="inlineStr">
        <is>
          <t>2025-06-05 08:30:20Z</t>
        </is>
      </c>
      <c r="I96" s="14" t="inlineStr">
        <is>
          <t>No</t>
        </is>
      </c>
      <c r="J96" s="14" t="inlineStr">
        <is>
          <t>Microsoft Fabric (Free)</t>
        </is>
      </c>
      <c r="K96" s="14" t="n">
        <v>1</v>
      </c>
    </row>
    <row r="97">
      <c r="A97" s="14" t="inlineStr">
        <is>
          <t>Megan Salzwedel</t>
        </is>
      </c>
      <c r="B97" s="14" t="inlineStr">
        <is>
          <t>Megan@wearcheckrs.com</t>
        </is>
      </c>
      <c r="C97" s="14" t="inlineStr">
        <is>
          <t>Megan</t>
        </is>
      </c>
      <c r="D97" s="14" t="inlineStr">
        <is>
          <t>Salzwedel</t>
        </is>
      </c>
      <c r="E97" s="14" t="inlineStr">
        <is>
          <t>GP Consult</t>
        </is>
      </c>
      <c r="F97" s="14" t="inlineStr">
        <is>
          <t>SAP User</t>
        </is>
      </c>
      <c r="G97" s="14" t="inlineStr">
        <is>
          <t>ZA</t>
        </is>
      </c>
      <c r="H97" s="14" t="inlineStr">
        <is>
          <t>2021-10-19 10:02:18Z</t>
        </is>
      </c>
      <c r="I97" s="14" t="inlineStr">
        <is>
          <t>No</t>
        </is>
      </c>
      <c r="J97" s="14" t="inlineStr">
        <is>
          <t>Microsoft 365 Business Premium+Microsoft Defender for Office 365 (Plan 2)+Microsoft Power Apps Plan 2 Trial+Microsoft Fabric (Free)+Microsoft Power Automate Free</t>
        </is>
      </c>
      <c r="K97" s="14" t="n">
        <v>5</v>
      </c>
    </row>
    <row r="98">
      <c r="A98" s="14" t="inlineStr">
        <is>
          <t>Mervyn Gibbons</t>
        </is>
      </c>
      <c r="B98" s="14" t="inlineStr">
        <is>
          <t>Mervyn@WearCheckRS.com</t>
        </is>
      </c>
      <c r="C98" s="14" t="inlineStr">
        <is>
          <t>Mervyn</t>
        </is>
      </c>
      <c r="D98" s="14" t="inlineStr">
        <is>
          <t>Gibbons</t>
        </is>
      </c>
      <c r="E98" s="14" t="inlineStr">
        <is>
          <t>TC</t>
        </is>
      </c>
      <c r="F98" s="14" t="inlineStr"/>
      <c r="G98" s="14" t="inlineStr">
        <is>
          <t>ZA</t>
        </is>
      </c>
      <c r="H98" s="14" t="inlineStr">
        <is>
          <t>2026-01-23 10:23:12Z</t>
        </is>
      </c>
      <c r="I98" s="14" t="inlineStr">
        <is>
          <t>No</t>
        </is>
      </c>
      <c r="J98" s="14" t="inlineStr">
        <is>
          <t>Microsoft Power Automate Free+Microsoft 365 Business Standard+Microsoft Power Apps Plan 2 Trial+Microsoft Fabric (Free)+Microsoft Copilot Studio Viral Trial+Microsoft Power Apps for Developer+Power Pages vTrial for Makers+Microsoft Defender for Office 365 (Plan 2)+Dynamics 365 Customer Insights Self-Service</t>
        </is>
      </c>
      <c r="K98" s="14" t="n">
        <v>9</v>
      </c>
    </row>
    <row r="99">
      <c r="A99" s="14" t="inlineStr">
        <is>
          <t>Meshack Nxumalo</t>
        </is>
      </c>
      <c r="B99" s="14" t="inlineStr">
        <is>
          <t>meshack@WearCheckRS.com</t>
        </is>
      </c>
      <c r="C99" s="14" t="inlineStr">
        <is>
          <t>Meshack</t>
        </is>
      </c>
      <c r="D99" s="14" t="inlineStr">
        <is>
          <t>Nxumalo</t>
        </is>
      </c>
      <c r="E99" s="14" t="inlineStr"/>
      <c r="F99" s="14" t="inlineStr"/>
      <c r="G99" s="14" t="inlineStr">
        <is>
          <t>ZA</t>
        </is>
      </c>
      <c r="H99" s="14" t="inlineStr">
        <is>
          <t>2022-05-16 10:50:15Z</t>
        </is>
      </c>
      <c r="I99" s="14" t="inlineStr">
        <is>
          <t>No</t>
        </is>
      </c>
      <c r="J99" s="14" t="inlineStr">
        <is>
          <t>Microsoft Defender for Office 365 (Plan 2)+Microsoft 365 Business Standard</t>
        </is>
      </c>
      <c r="K99" s="14" t="n">
        <v>2</v>
      </c>
    </row>
    <row r="100">
      <c r="A100" s="14" t="inlineStr">
        <is>
          <t>Micheal Masemola</t>
        </is>
      </c>
      <c r="B100" s="14" t="inlineStr">
        <is>
          <t>michealm@WearCheckRS.com</t>
        </is>
      </c>
      <c r="C100" s="14" t="inlineStr">
        <is>
          <t>Micheal</t>
        </is>
      </c>
      <c r="D100" s="14" t="inlineStr">
        <is>
          <t>Masemola</t>
        </is>
      </c>
      <c r="E100" s="14" t="inlineStr"/>
      <c r="F100" s="14" t="inlineStr"/>
      <c r="G100" s="14" t="inlineStr">
        <is>
          <t>ZA</t>
        </is>
      </c>
      <c r="H100" s="14" t="inlineStr">
        <is>
          <t>2022-05-16 11:01:48Z</t>
        </is>
      </c>
      <c r="I100" s="14" t="inlineStr">
        <is>
          <t>No</t>
        </is>
      </c>
      <c r="J100" s="14" t="inlineStr">
        <is>
          <t>Microsoft Defender for Office 365 (Plan 2)+Microsoft 365 Business Standard</t>
        </is>
      </c>
      <c r="K100" s="14" t="n">
        <v>2</v>
      </c>
    </row>
    <row r="101">
      <c r="A101" s="14" t="inlineStr">
        <is>
          <t>Micheal Pretorius</t>
        </is>
      </c>
      <c r="B101" s="14" t="inlineStr">
        <is>
          <t>micheal@WearCheckRS.com</t>
        </is>
      </c>
      <c r="C101" s="14" t="inlineStr">
        <is>
          <t>Micheal</t>
        </is>
      </c>
      <c r="D101" s="14" t="inlineStr">
        <is>
          <t>Pretorius</t>
        </is>
      </c>
      <c r="E101" s="14" t="inlineStr"/>
      <c r="F101" s="14" t="inlineStr"/>
      <c r="G101" s="14" t="inlineStr">
        <is>
          <t>ZA</t>
        </is>
      </c>
      <c r="H101" s="14" t="inlineStr">
        <is>
          <t>2022-05-16 11:01:01Z</t>
        </is>
      </c>
      <c r="I101" s="14" t="inlineStr">
        <is>
          <t>No</t>
        </is>
      </c>
      <c r="J101" s="14" t="inlineStr">
        <is>
          <t>Microsoft Defender for Office 365 (Plan 2)+Microsoft Power Automate Free+Microsoft 365 Business Standard</t>
        </is>
      </c>
      <c r="K101" s="14" t="n">
        <v>3</v>
      </c>
    </row>
    <row r="102">
      <c r="A102" s="14" t="inlineStr">
        <is>
          <t>Mike Shongwe</t>
        </is>
      </c>
      <c r="B102" s="14" t="inlineStr">
        <is>
          <t>MikeS@WearCheckRS.com</t>
        </is>
      </c>
      <c r="C102" s="14" t="inlineStr">
        <is>
          <t>Mike</t>
        </is>
      </c>
      <c r="D102" s="14" t="inlineStr">
        <is>
          <t>Shongwe</t>
        </is>
      </c>
      <c r="E102" s="14" t="inlineStr"/>
      <c r="F102" s="14" t="inlineStr"/>
      <c r="G102" s="14" t="inlineStr">
        <is>
          <t>ZA</t>
        </is>
      </c>
      <c r="H102" s="14" t="inlineStr">
        <is>
          <t>2025-02-24 13:23:19Z</t>
        </is>
      </c>
      <c r="I102" s="14" t="inlineStr">
        <is>
          <t>No</t>
        </is>
      </c>
      <c r="J102" s="14" t="inlineStr">
        <is>
          <t>Microsoft Defender for Office 365 (Plan 2)+Microsoft 365 Business Standard</t>
        </is>
      </c>
      <c r="K102" s="14" t="n">
        <v>2</v>
      </c>
    </row>
    <row r="103">
      <c r="A103" s="14" t="inlineStr">
        <is>
          <t>Morne Alberts</t>
        </is>
      </c>
      <c r="B103" s="14" t="inlineStr">
        <is>
          <t>mornea@wearcheckrs.com</t>
        </is>
      </c>
      <c r="C103" s="14" t="inlineStr">
        <is>
          <t>Morne</t>
        </is>
      </c>
      <c r="D103" s="14" t="inlineStr">
        <is>
          <t>Alberts</t>
        </is>
      </c>
      <c r="E103" s="14" t="inlineStr"/>
      <c r="F103" s="14" t="inlineStr"/>
      <c r="G103" s="14" t="inlineStr">
        <is>
          <t>ZA</t>
        </is>
      </c>
      <c r="H103" s="14" t="inlineStr">
        <is>
          <t>2021-05-25 18:10:51Z</t>
        </is>
      </c>
      <c r="I103" s="14" t="inlineStr">
        <is>
          <t>No</t>
        </is>
      </c>
      <c r="J103" s="14" t="inlineStr">
        <is>
          <t>Microsoft 365 Business Premium+Microsoft Defender for Office 365 (Plan 2)+Microsoft Fabric (Free)</t>
        </is>
      </c>
      <c r="K103" s="14" t="n">
        <v>3</v>
      </c>
    </row>
    <row r="104">
      <c r="A104" s="14" t="inlineStr">
        <is>
          <t>Muhamad Ikram Hanif</t>
        </is>
      </c>
      <c r="B104" s="14" t="inlineStr">
        <is>
          <t>Muhamad@WearCheckRS.com</t>
        </is>
      </c>
      <c r="C104" s="14" t="inlineStr">
        <is>
          <t>Muhamad</t>
        </is>
      </c>
      <c r="D104" s="14" t="inlineStr">
        <is>
          <t>Ikram Hanif</t>
        </is>
      </c>
      <c r="E104" s="14" t="inlineStr">
        <is>
          <t>RS</t>
        </is>
      </c>
      <c r="F104" s="14" t="inlineStr">
        <is>
          <t>CM Technician</t>
        </is>
      </c>
      <c r="G104" s="14" t="inlineStr">
        <is>
          <t>ZA</t>
        </is>
      </c>
      <c r="H104" s="14" t="inlineStr">
        <is>
          <t>2021-11-30 14:32:46Z</t>
        </is>
      </c>
      <c r="I104" s="14" t="inlineStr">
        <is>
          <t>No</t>
        </is>
      </c>
      <c r="J104" s="14" t="inlineStr">
        <is>
          <t>Microsoft Defender for Office 365 (Plan 2)+Microsoft Fabric (Free)+Microsoft 365 Business Standard</t>
        </is>
      </c>
      <c r="K104" s="14" t="n">
        <v>3</v>
      </c>
    </row>
    <row r="105">
      <c r="A105" s="14" t="inlineStr">
        <is>
          <t>Nadhira Bux</t>
        </is>
      </c>
      <c r="B105" s="14" t="inlineStr">
        <is>
          <t>Nadhira@WearCheckRS.com</t>
        </is>
      </c>
      <c r="C105" s="14" t="inlineStr">
        <is>
          <t>Nadhira</t>
        </is>
      </c>
      <c r="D105" s="14" t="inlineStr">
        <is>
          <t>Bux</t>
        </is>
      </c>
      <c r="E105" s="14" t="inlineStr">
        <is>
          <t>Wearcheck ARC</t>
        </is>
      </c>
      <c r="F105" s="14" t="inlineStr">
        <is>
          <t>Administrator</t>
        </is>
      </c>
      <c r="G105" s="14" t="inlineStr">
        <is>
          <t>ZA</t>
        </is>
      </c>
      <c r="H105" s="14" t="inlineStr">
        <is>
          <t>2023-03-01 08:18:47Z</t>
        </is>
      </c>
      <c r="I105" s="14" t="inlineStr">
        <is>
          <t>No</t>
        </is>
      </c>
      <c r="J105" s="14" t="inlineStr">
        <is>
          <t>Microsoft 365 Business Premium+Microsoft Defender for Office 365 (Plan 2)+Microsoft Power Apps for Developer+Power Pages vTrial for Makers+Microsoft Copilot Studio Viral Trial+Microsoft Power Automate Free+Microsoft Fabric (Free)</t>
        </is>
      </c>
      <c r="K105" s="14" t="n">
        <v>7</v>
      </c>
    </row>
    <row r="106">
      <c r="A106" s="14" t="inlineStr">
        <is>
          <t>Nico du Plessis</t>
        </is>
      </c>
      <c r="B106" s="14" t="inlineStr">
        <is>
          <t>Nico.duPlessis@WearCheckRS.com</t>
        </is>
      </c>
      <c r="C106" s="14" t="inlineStr">
        <is>
          <t>Nico</t>
        </is>
      </c>
      <c r="D106" s="14" t="inlineStr">
        <is>
          <t>du Plessis</t>
        </is>
      </c>
      <c r="E106" s="14" t="inlineStr"/>
      <c r="F106" s="14" t="inlineStr"/>
      <c r="G106" s="14" t="inlineStr">
        <is>
          <t>ZA</t>
        </is>
      </c>
      <c r="H106" s="14" t="inlineStr">
        <is>
          <t>2025-02-20 16:44:41Z</t>
        </is>
      </c>
      <c r="I106" s="14" t="inlineStr">
        <is>
          <t>No</t>
        </is>
      </c>
      <c r="J106" s="14" t="inlineStr">
        <is>
          <t>Microsoft Power Automate Free+Microsoft Defender for Office 365 (Plan 2)+Microsoft 365 Business Standard</t>
        </is>
      </c>
      <c r="K106" s="14" t="n">
        <v>3</v>
      </c>
    </row>
    <row r="107">
      <c r="A107" s="14" t="inlineStr">
        <is>
          <t>Nicolien Schutte</t>
        </is>
      </c>
      <c r="B107" s="14" t="inlineStr">
        <is>
          <t>Nicoliens@WearCheckRS.com</t>
        </is>
      </c>
      <c r="C107" s="14" t="inlineStr">
        <is>
          <t>Nicolien</t>
        </is>
      </c>
      <c r="D107" s="14" t="inlineStr">
        <is>
          <t>Schutte</t>
        </is>
      </c>
      <c r="E107" s="14" t="inlineStr"/>
      <c r="F107" s="14" t="inlineStr"/>
      <c r="G107" s="14" t="inlineStr">
        <is>
          <t>ZA</t>
        </is>
      </c>
      <c r="H107" s="14" t="inlineStr">
        <is>
          <t>2021-09-01 13:09:02Z</t>
        </is>
      </c>
      <c r="I107" s="14" t="inlineStr">
        <is>
          <t>No</t>
        </is>
      </c>
      <c r="J107" s="14" t="inlineStr">
        <is>
          <t>Microsoft Defender for Office 365 (Plan 2)+Power BI Premium Per User+Microsoft 365 E3+Microsoft Fabric (Free)+Microsoft Power Automate Free</t>
        </is>
      </c>
      <c r="K107" s="14" t="n">
        <v>5</v>
      </c>
    </row>
    <row r="108">
      <c r="A108" s="14" t="inlineStr">
        <is>
          <t>no-reply-arc-oil@wearcheckrs.com</t>
        </is>
      </c>
      <c r="B108" s="14" t="inlineStr">
        <is>
          <t>no-reply-arc-oil@WearCheckRS.com</t>
        </is>
      </c>
      <c r="C108" s="14" t="inlineStr">
        <is>
          <t>Oil</t>
        </is>
      </c>
      <c r="D108" s="14" t="inlineStr">
        <is>
          <t>Automation</t>
        </is>
      </c>
      <c r="E108" s="14" t="inlineStr"/>
      <c r="F108" s="14" t="inlineStr"/>
      <c r="G108" s="14" t="inlineStr">
        <is>
          <t>ZA</t>
        </is>
      </c>
      <c r="H108" s="14" t="inlineStr">
        <is>
          <t>2024-08-19 07:05:21Z</t>
        </is>
      </c>
      <c r="I108" s="14" t="inlineStr">
        <is>
          <t>No</t>
        </is>
      </c>
      <c r="J108" s="14" t="inlineStr">
        <is>
          <t>Microsoft Power Automate Free+Microsoft Defender for Office 365 (Plan 2)+Microsoft 365 Business Standard</t>
        </is>
      </c>
      <c r="K108" s="14" t="n">
        <v>3</v>
      </c>
    </row>
    <row r="109">
      <c r="A109" s="14" t="inlineStr">
        <is>
          <t>No Reply</t>
        </is>
      </c>
      <c r="B109" s="14" t="inlineStr">
        <is>
          <t>noreply@WearCheckRS.com</t>
        </is>
      </c>
      <c r="C109" s="14" t="inlineStr">
        <is>
          <t>No Reply</t>
        </is>
      </c>
      <c r="D109" s="14" t="inlineStr"/>
      <c r="E109" s="14" t="inlineStr"/>
      <c r="F109" s="14" t="inlineStr"/>
      <c r="G109" s="14" t="inlineStr">
        <is>
          <t>ZA</t>
        </is>
      </c>
      <c r="H109" s="14" t="inlineStr">
        <is>
          <t>2024-05-08 13:13:31Z</t>
        </is>
      </c>
      <c r="I109" s="14" t="inlineStr">
        <is>
          <t>No</t>
        </is>
      </c>
      <c r="J109" s="14" t="inlineStr">
        <is>
          <t>Microsoft Defender for Office 365 (Plan 2)+Microsoft 365 Business Standard</t>
        </is>
      </c>
      <c r="K109" s="14" t="n">
        <v>2</v>
      </c>
    </row>
    <row r="110">
      <c r="A110" s="14" t="inlineStr">
        <is>
          <t>Nomvula  Mkhize</t>
        </is>
      </c>
      <c r="B110" s="14" t="inlineStr">
        <is>
          <t>NomvulaM@WearCheckRS.com</t>
        </is>
      </c>
      <c r="C110" s="14" t="inlineStr">
        <is>
          <t>Nomvula</t>
        </is>
      </c>
      <c r="D110" s="14" t="inlineStr">
        <is>
          <t>Mkhize</t>
        </is>
      </c>
      <c r="E110" s="14" t="inlineStr">
        <is>
          <t>Wearcheck ARC</t>
        </is>
      </c>
      <c r="F110" s="14" t="inlineStr"/>
      <c r="G110" s="14" t="inlineStr">
        <is>
          <t>ZA</t>
        </is>
      </c>
      <c r="H110" s="14" t="inlineStr">
        <is>
          <t>2024-06-04 09:58:52Z</t>
        </is>
      </c>
      <c r="I110" s="14" t="inlineStr">
        <is>
          <t>No</t>
        </is>
      </c>
      <c r="J110" s="14" t="inlineStr">
        <is>
          <t>Microsoft Defender for Office 365 (Plan 2)+Microsoft 365 Business Standard</t>
        </is>
      </c>
      <c r="K110" s="14" t="n">
        <v>2</v>
      </c>
    </row>
    <row r="111">
      <c r="A111" s="14" t="inlineStr">
        <is>
          <t>Passwell Mashoeou</t>
        </is>
      </c>
      <c r="B111" s="14" t="inlineStr">
        <is>
          <t>passwell@WearCheckRS.com</t>
        </is>
      </c>
      <c r="C111" s="14" t="inlineStr">
        <is>
          <t>Passwell</t>
        </is>
      </c>
      <c r="D111" s="14" t="inlineStr">
        <is>
          <t>Mashoeou</t>
        </is>
      </c>
      <c r="E111" s="14" t="inlineStr"/>
      <c r="F111" s="14" t="inlineStr"/>
      <c r="G111" s="14" t="inlineStr">
        <is>
          <t>ZA</t>
        </is>
      </c>
      <c r="H111" s="14" t="inlineStr">
        <is>
          <t>2022-05-16 11:14:41Z</t>
        </is>
      </c>
      <c r="I111" s="14" t="inlineStr">
        <is>
          <t>No</t>
        </is>
      </c>
      <c r="J111" s="14" t="inlineStr">
        <is>
          <t>Microsoft Defender for Office 365 (Plan 2)+Microsoft 365 Business Standard</t>
        </is>
      </c>
      <c r="K111" s="14" t="n">
        <v>2</v>
      </c>
    </row>
    <row r="112">
      <c r="A112" s="14" t="inlineStr">
        <is>
          <t>Patrick Nel</t>
        </is>
      </c>
      <c r="B112" s="14" t="inlineStr">
        <is>
          <t>Patrick@WearCheckRS.com</t>
        </is>
      </c>
      <c r="C112" s="14" t="inlineStr">
        <is>
          <t>Patrick</t>
        </is>
      </c>
      <c r="D112" s="14" t="inlineStr">
        <is>
          <t>Nel</t>
        </is>
      </c>
      <c r="E112" s="14" t="inlineStr"/>
      <c r="F112" s="14" t="inlineStr"/>
      <c r="G112" s="14" t="inlineStr">
        <is>
          <t>ZA</t>
        </is>
      </c>
      <c r="H112" s="14" t="inlineStr">
        <is>
          <t>2025-03-07 12:00:39Z</t>
        </is>
      </c>
      <c r="I112" s="14" t="inlineStr">
        <is>
          <t>No</t>
        </is>
      </c>
      <c r="J112" s="14" t="inlineStr">
        <is>
          <t>Microsoft 365 Business Standard</t>
        </is>
      </c>
      <c r="K112" s="14" t="n">
        <v>1</v>
      </c>
    </row>
    <row r="113">
      <c r="A113" s="14" t="inlineStr">
        <is>
          <t>Peet Peacock</t>
        </is>
      </c>
      <c r="B113" s="14" t="inlineStr">
        <is>
          <t>Peet@WearCheckRS.com</t>
        </is>
      </c>
      <c r="C113" s="14" t="inlineStr">
        <is>
          <t>Peet</t>
        </is>
      </c>
      <c r="D113" s="14" t="inlineStr">
        <is>
          <t>Peacock</t>
        </is>
      </c>
      <c r="E113" s="14" t="inlineStr">
        <is>
          <t>RS</t>
        </is>
      </c>
      <c r="F113" s="14" t="inlineStr">
        <is>
          <t>Reliability Supervisor</t>
        </is>
      </c>
      <c r="G113" s="14" t="inlineStr">
        <is>
          <t>ZA</t>
        </is>
      </c>
      <c r="H113" s="14" t="inlineStr">
        <is>
          <t>2019-09-10 14:43:13Z</t>
        </is>
      </c>
      <c r="I113" s="14" t="inlineStr">
        <is>
          <t>No</t>
        </is>
      </c>
      <c r="J113" s="14" t="inlineStr">
        <is>
          <t>Microsoft Defender for Office 365 (Plan 2)+Microsoft 365 E3</t>
        </is>
      </c>
      <c r="K113" s="14" t="n">
        <v>2</v>
      </c>
    </row>
    <row r="114">
      <c r="A114" s="14" t="inlineStr">
        <is>
          <t>Percy Hall</t>
        </is>
      </c>
      <c r="B114" s="14" t="inlineStr">
        <is>
          <t>Percy@WearCheckRS.com</t>
        </is>
      </c>
      <c r="C114" s="14" t="inlineStr">
        <is>
          <t>Percy</t>
        </is>
      </c>
      <c r="D114" s="14" t="inlineStr">
        <is>
          <t>Hall</t>
        </is>
      </c>
      <c r="E114" s="14" t="inlineStr"/>
      <c r="F114" s="14" t="inlineStr"/>
      <c r="G114" s="14" t="inlineStr">
        <is>
          <t>ZA</t>
        </is>
      </c>
      <c r="H114" s="14" t="inlineStr">
        <is>
          <t>2023-04-05 10:54:36Z</t>
        </is>
      </c>
      <c r="I114" s="14" t="inlineStr">
        <is>
          <t>No</t>
        </is>
      </c>
      <c r="J114" s="14" t="inlineStr">
        <is>
          <t>Microsoft Defender for Office 365 (Plan 2)+Microsoft 365 Business Standard</t>
        </is>
      </c>
      <c r="K114" s="14" t="n">
        <v>2</v>
      </c>
    </row>
    <row r="115">
      <c r="A115" s="14" t="inlineStr">
        <is>
          <t>Permission Melele</t>
        </is>
      </c>
      <c r="B115" s="14" t="inlineStr">
        <is>
          <t>permission@WearCheckRS.com</t>
        </is>
      </c>
      <c r="C115" s="14" t="inlineStr">
        <is>
          <t>Permission</t>
        </is>
      </c>
      <c r="D115" s="14" t="inlineStr">
        <is>
          <t>Melele</t>
        </is>
      </c>
      <c r="E115" s="14" t="inlineStr"/>
      <c r="F115" s="14" t="inlineStr"/>
      <c r="G115" s="14" t="inlineStr">
        <is>
          <t>ZA</t>
        </is>
      </c>
      <c r="H115" s="14" t="inlineStr">
        <is>
          <t>2022-05-16 10:03:58Z</t>
        </is>
      </c>
      <c r="I115" s="14" t="inlineStr">
        <is>
          <t>No</t>
        </is>
      </c>
      <c r="J115" s="14" t="inlineStr">
        <is>
          <t>Microsoft Defender for Office 365 (Plan 2)+Microsoft 365 Business Standard</t>
        </is>
      </c>
      <c r="K115" s="14" t="n">
        <v>2</v>
      </c>
    </row>
    <row r="116">
      <c r="A116" s="14" t="inlineStr">
        <is>
          <t>Peter</t>
        </is>
      </c>
      <c r="B116" s="14" t="inlineStr">
        <is>
          <t>Peter@WearCheckRS.com</t>
        </is>
      </c>
      <c r="C116" s="14" t="inlineStr">
        <is>
          <t>Peter</t>
        </is>
      </c>
      <c r="D116" s="14" t="inlineStr">
        <is>
          <t>Mateus</t>
        </is>
      </c>
      <c r="E116" s="14" t="inlineStr">
        <is>
          <t>Mozambique RS</t>
        </is>
      </c>
      <c r="F116" s="14" t="inlineStr">
        <is>
          <t>CM Technician Mozambique RS</t>
        </is>
      </c>
      <c r="G116" s="14" t="inlineStr">
        <is>
          <t>MZ</t>
        </is>
      </c>
      <c r="H116" s="14" t="inlineStr">
        <is>
          <t>2025-12-03 07:26:11Z</t>
        </is>
      </c>
      <c r="I116" s="14" t="inlineStr">
        <is>
          <t>No</t>
        </is>
      </c>
      <c r="J116" s="14" t="inlineStr">
        <is>
          <t>Microsoft 365 Business Standard</t>
        </is>
      </c>
      <c r="K116" s="14" t="n">
        <v>1</v>
      </c>
    </row>
    <row r="117">
      <c r="A117" s="14" t="inlineStr">
        <is>
          <t>Philip Schutte</t>
        </is>
      </c>
      <c r="B117" s="14" t="inlineStr">
        <is>
          <t>philip@WearCheckRS.com</t>
        </is>
      </c>
      <c r="C117" s="14" t="inlineStr">
        <is>
          <t>Philip</t>
        </is>
      </c>
      <c r="D117" s="14" t="inlineStr">
        <is>
          <t>Schutte</t>
        </is>
      </c>
      <c r="E117" s="14" t="inlineStr"/>
      <c r="F117" s="14" t="inlineStr">
        <is>
          <t>General Manager</t>
        </is>
      </c>
      <c r="G117" s="14" t="inlineStr">
        <is>
          <t>ZA</t>
        </is>
      </c>
      <c r="H117" s="14" t="inlineStr">
        <is>
          <t>2020-05-12 14:13:15Z</t>
        </is>
      </c>
      <c r="I117" s="14" t="inlineStr">
        <is>
          <t>No</t>
        </is>
      </c>
      <c r="J117" s="14" t="inlineStr">
        <is>
          <t>Microsoft Defender for Office 365 (Plan 2)+Microsoft Fabric (Free)+Microsoft 365 E3+Microsoft Power Automate Free</t>
        </is>
      </c>
      <c r="K117" s="14" t="n">
        <v>4</v>
      </c>
    </row>
    <row r="118">
      <c r="A118" s="14" t="inlineStr">
        <is>
          <t>Philip Zoho</t>
        </is>
      </c>
      <c r="B118" s="14" t="inlineStr">
        <is>
          <t>Philip_Zoho@WearCheckRS.com</t>
        </is>
      </c>
      <c r="C118" s="14" t="inlineStr"/>
      <c r="D118" s="14" t="inlineStr"/>
      <c r="E118" s="14" t="inlineStr"/>
      <c r="F118" s="14" t="inlineStr"/>
      <c r="G118" s="14" t="inlineStr">
        <is>
          <t>ZA</t>
        </is>
      </c>
      <c r="H118" s="14" t="inlineStr">
        <is>
          <t>2025-08-21 12:51:28Z</t>
        </is>
      </c>
      <c r="I118" s="14" t="inlineStr">
        <is>
          <t>No</t>
        </is>
      </c>
      <c r="J118" s="14" t="inlineStr">
        <is>
          <t>Microsoft 365 Business Standard</t>
        </is>
      </c>
      <c r="K118" s="14" t="n">
        <v>1</v>
      </c>
    </row>
    <row r="119">
      <c r="A119" s="14" t="inlineStr">
        <is>
          <t>Placido Maculuve</t>
        </is>
      </c>
      <c r="B119" s="14" t="inlineStr">
        <is>
          <t>Placido@WearCheckRS.com</t>
        </is>
      </c>
      <c r="C119" s="14" t="inlineStr">
        <is>
          <t>Placido</t>
        </is>
      </c>
      <c r="D119" s="14" t="inlineStr">
        <is>
          <t>Maculuve</t>
        </is>
      </c>
      <c r="E119" s="14" t="inlineStr">
        <is>
          <t>RS</t>
        </is>
      </c>
      <c r="F119" s="14" t="inlineStr">
        <is>
          <t>Site Supervisor</t>
        </is>
      </c>
      <c r="G119" s="14" t="inlineStr">
        <is>
          <t>ZA</t>
        </is>
      </c>
      <c r="H119" s="14" t="inlineStr">
        <is>
          <t>2021-11-30 14:28:19Z</t>
        </is>
      </c>
      <c r="I119" s="14" t="inlineStr">
        <is>
          <t>No</t>
        </is>
      </c>
      <c r="J119" s="14" t="inlineStr">
        <is>
          <t>Microsoft Defender for Office 365 (Plan 2)+Microsoft Fabric (Free)+Microsoft 365 Business Standard</t>
        </is>
      </c>
      <c r="K119" s="14" t="n">
        <v>3</v>
      </c>
    </row>
    <row r="120">
      <c r="A120" s="14" t="inlineStr">
        <is>
          <t>Power Bi Gateway Service Account</t>
        </is>
      </c>
      <c r="B120" s="14" t="inlineStr">
        <is>
          <t>srv_acc_pbi_gw@WearCheckRS.com</t>
        </is>
      </c>
      <c r="C120" s="14" t="inlineStr"/>
      <c r="D120" s="14" t="inlineStr"/>
      <c r="E120" s="14" t="inlineStr"/>
      <c r="F120" s="14" t="inlineStr"/>
      <c r="G120" s="14" t="inlineStr">
        <is>
          <t>ZA</t>
        </is>
      </c>
      <c r="H120" s="14" t="inlineStr">
        <is>
          <t>2023-07-25 04:46:08Z</t>
        </is>
      </c>
      <c r="I120" s="14" t="inlineStr">
        <is>
          <t>No</t>
        </is>
      </c>
      <c r="J120" s="14" t="inlineStr">
        <is>
          <t>Microsoft Power Automate Free+Power BI Premium Per User+Exchange Online (Plan 1)</t>
        </is>
      </c>
      <c r="K120" s="14" t="n">
        <v>3</v>
      </c>
    </row>
    <row r="121">
      <c r="A121" s="14" t="inlineStr">
        <is>
          <t>Printer  Account</t>
        </is>
      </c>
      <c r="B121" s="14" t="inlineStr">
        <is>
          <t>printer@WearCheckRS.com</t>
        </is>
      </c>
      <c r="C121" s="14" t="inlineStr">
        <is>
          <t>Printer</t>
        </is>
      </c>
      <c r="D121" s="14" t="inlineStr">
        <is>
          <t>Account</t>
        </is>
      </c>
      <c r="E121" s="14" t="inlineStr"/>
      <c r="F121" s="14" t="inlineStr"/>
      <c r="G121" s="14" t="inlineStr">
        <is>
          <t>ZA</t>
        </is>
      </c>
      <c r="H121" s="14" t="inlineStr">
        <is>
          <t>2024-02-07 12:56:56Z</t>
        </is>
      </c>
      <c r="I121" s="14" t="inlineStr">
        <is>
          <t>No</t>
        </is>
      </c>
      <c r="J121" s="14" t="inlineStr">
        <is>
          <t>Exchange Online (Plan 1)</t>
        </is>
      </c>
      <c r="K121" s="14" t="n">
        <v>1</v>
      </c>
    </row>
    <row r="122">
      <c r="A122" s="14" t="inlineStr">
        <is>
          <t>Rakcal Balaram</t>
        </is>
      </c>
      <c r="B122" s="14" t="inlineStr">
        <is>
          <t>rakcal@WearCheckRS.com</t>
        </is>
      </c>
      <c r="C122" s="14" t="inlineStr">
        <is>
          <t>Rakcal</t>
        </is>
      </c>
      <c r="D122" s="14" t="inlineStr">
        <is>
          <t>Balaram</t>
        </is>
      </c>
      <c r="E122" s="14" t="inlineStr"/>
      <c r="F122" s="14" t="inlineStr"/>
      <c r="G122" s="14" t="inlineStr">
        <is>
          <t>ZA</t>
        </is>
      </c>
      <c r="H122" s="14" t="inlineStr">
        <is>
          <t>2022-05-17 08:24:13Z</t>
        </is>
      </c>
      <c r="I122" s="14" t="inlineStr">
        <is>
          <t>No</t>
        </is>
      </c>
      <c r="J122" s="14" t="inlineStr">
        <is>
          <t>Microsoft Defender for Office 365 (Plan 2)+Microsoft 365 Business Standard</t>
        </is>
      </c>
      <c r="K122" s="14" t="n">
        <v>2</v>
      </c>
    </row>
    <row r="123">
      <c r="A123" s="14" t="inlineStr">
        <is>
          <t>Reinier Kalp</t>
        </is>
      </c>
      <c r="B123" s="14" t="inlineStr">
        <is>
          <t>reinierk@wearcheckrs.com</t>
        </is>
      </c>
      <c r="C123" s="14" t="inlineStr">
        <is>
          <t>Reinier</t>
        </is>
      </c>
      <c r="D123" s="14" t="inlineStr">
        <is>
          <t>Kalp</t>
        </is>
      </c>
      <c r="E123" s="14" t="inlineStr">
        <is>
          <t>RS</t>
        </is>
      </c>
      <c r="F123" s="14" t="inlineStr">
        <is>
          <t>Analyst</t>
        </is>
      </c>
      <c r="G123" s="14" t="inlineStr">
        <is>
          <t>ZA</t>
        </is>
      </c>
      <c r="H123" s="14" t="inlineStr">
        <is>
          <t>2021-05-25 18:10:51Z</t>
        </is>
      </c>
      <c r="I123" s="14" t="inlineStr">
        <is>
          <t>No</t>
        </is>
      </c>
      <c r="J123" s="14" t="inlineStr">
        <is>
          <t>Microsoft 365 Business Premium+Microsoft Defender for Office 365 (Plan 2)+Microsoft Power Automate Free+Microsoft Fabric (Free)</t>
        </is>
      </c>
      <c r="K123" s="14" t="n">
        <v>4</v>
      </c>
    </row>
    <row r="124">
      <c r="A124" s="14" t="inlineStr">
        <is>
          <t>Remote Analysis Centre Admin</t>
        </is>
      </c>
      <c r="B124" s="14" t="inlineStr">
        <is>
          <t>rac.admin@WearCheckRS.com</t>
        </is>
      </c>
      <c r="C124" s="14" t="inlineStr">
        <is>
          <t>Remote Analysis Centre</t>
        </is>
      </c>
      <c r="D124" s="14" t="inlineStr">
        <is>
          <t>Admin</t>
        </is>
      </c>
      <c r="E124" s="14" t="inlineStr"/>
      <c r="F124" s="14" t="inlineStr">
        <is>
          <t>Admin</t>
        </is>
      </c>
      <c r="G124" s="14" t="inlineStr">
        <is>
          <t>ZA</t>
        </is>
      </c>
      <c r="H124" s="14" t="inlineStr">
        <is>
          <t>2024-01-10 12:14:27Z</t>
        </is>
      </c>
      <c r="I124" s="14" t="inlineStr">
        <is>
          <t>No</t>
        </is>
      </c>
      <c r="J124" s="14" t="inlineStr">
        <is>
          <t>Microsoft Defender for Office 365 (Plan 2)+Microsoft 365 E3</t>
        </is>
      </c>
      <c r="K124" s="14" t="n">
        <v>2</v>
      </c>
    </row>
    <row r="125">
      <c r="A125" s="14" t="inlineStr">
        <is>
          <t>Riaan De Beer</t>
        </is>
      </c>
      <c r="B125" s="14" t="inlineStr">
        <is>
          <t>RiaandB@WearCheckRS.com</t>
        </is>
      </c>
      <c r="C125" s="14" t="inlineStr">
        <is>
          <t>Riaan</t>
        </is>
      </c>
      <c r="D125" s="14" t="inlineStr">
        <is>
          <t>De Beer</t>
        </is>
      </c>
      <c r="E125" s="14" t="inlineStr">
        <is>
          <t>RS</t>
        </is>
      </c>
      <c r="F125" s="14" t="inlineStr">
        <is>
          <t>Technician</t>
        </is>
      </c>
      <c r="G125" s="14" t="inlineStr">
        <is>
          <t>ZA</t>
        </is>
      </c>
      <c r="H125" s="14" t="inlineStr">
        <is>
          <t>2020-12-02 08:12:47Z</t>
        </is>
      </c>
      <c r="I125" s="14" t="inlineStr">
        <is>
          <t>No</t>
        </is>
      </c>
      <c r="J125" s="14" t="inlineStr">
        <is>
          <t>Microsoft Defender for Office 365 (Plan 2)+Microsoft Fabric (Free)+Microsoft 365 Business Standard+Microsoft Power Automate Free</t>
        </is>
      </c>
      <c r="K125" s="14" t="n">
        <v>4</v>
      </c>
    </row>
    <row r="126">
      <c r="A126" s="14" t="inlineStr">
        <is>
          <t>Riaan Du Plooy</t>
        </is>
      </c>
      <c r="B126" s="14" t="inlineStr">
        <is>
          <t>RiaanDP@WearCheckRS.com</t>
        </is>
      </c>
      <c r="C126" s="14" t="inlineStr">
        <is>
          <t>Riaan</t>
        </is>
      </c>
      <c r="D126" s="14" t="inlineStr">
        <is>
          <t>Du Plooy</t>
        </is>
      </c>
      <c r="E126" s="14" t="inlineStr"/>
      <c r="F126" s="14" t="inlineStr"/>
      <c r="G126" s="14" t="inlineStr">
        <is>
          <t>ZA</t>
        </is>
      </c>
      <c r="H126" s="14" t="inlineStr">
        <is>
          <t>2022-04-05 10:08:16Z</t>
        </is>
      </c>
      <c r="I126" s="14" t="inlineStr">
        <is>
          <t>No</t>
        </is>
      </c>
      <c r="J126" s="14" t="inlineStr">
        <is>
          <t>Microsoft 365 Business Premium+Microsoft Defender for Office 365 (Plan 2)</t>
        </is>
      </c>
      <c r="K126" s="14" t="n">
        <v>2</v>
      </c>
    </row>
    <row r="127">
      <c r="A127" s="14" t="inlineStr">
        <is>
          <t>Roger Henwood</t>
        </is>
      </c>
      <c r="B127" s="14" t="inlineStr">
        <is>
          <t>RogerH@WearCheckRS.com</t>
        </is>
      </c>
      <c r="C127" s="14" t="inlineStr">
        <is>
          <t>Roger</t>
        </is>
      </c>
      <c r="D127" s="14" t="inlineStr">
        <is>
          <t>Henwood</t>
        </is>
      </c>
      <c r="E127" s="14" t="inlineStr"/>
      <c r="F127" s="14" t="inlineStr"/>
      <c r="G127" s="14" t="inlineStr">
        <is>
          <t>ZA</t>
        </is>
      </c>
      <c r="H127" s="14" t="inlineStr">
        <is>
          <t>2024-08-30 12:00:39Z</t>
        </is>
      </c>
      <c r="I127" s="14" t="inlineStr">
        <is>
          <t>No</t>
        </is>
      </c>
      <c r="J127" s="14" t="inlineStr">
        <is>
          <t>Microsoft Defender for Office 365 (Plan 2)+Microsoft Power Automate Free+Microsoft 365 Business Standard</t>
        </is>
      </c>
      <c r="K127" s="14" t="n">
        <v>3</v>
      </c>
    </row>
    <row r="128">
      <c r="A128" s="14" t="inlineStr">
        <is>
          <t>Rohan Willer</t>
        </is>
      </c>
      <c r="B128" s="14" t="inlineStr">
        <is>
          <t>rohan@WearCheckRS.com</t>
        </is>
      </c>
      <c r="C128" s="14" t="inlineStr">
        <is>
          <t>Rohan</t>
        </is>
      </c>
      <c r="D128" s="14" t="inlineStr">
        <is>
          <t>Willer</t>
        </is>
      </c>
      <c r="E128" s="14" t="inlineStr"/>
      <c r="F128" s="14" t="inlineStr"/>
      <c r="G128" s="14" t="inlineStr">
        <is>
          <t>ZA</t>
        </is>
      </c>
      <c r="H128" s="14" t="inlineStr">
        <is>
          <t>2022-05-16 09:56:16Z</t>
        </is>
      </c>
      <c r="I128" s="14" t="inlineStr">
        <is>
          <t>No</t>
        </is>
      </c>
      <c r="J128" s="14" t="inlineStr">
        <is>
          <t>Microsoft 365 Business Premium+Microsoft Defender for Office 365 (Plan 2)+Microsoft Power Automate Free</t>
        </is>
      </c>
      <c r="K128" s="14" t="n">
        <v>3</v>
      </c>
    </row>
    <row r="129">
      <c r="A129" s="14" t="inlineStr">
        <is>
          <t>Rynhardt Meyer</t>
        </is>
      </c>
      <c r="B129" s="14" t="inlineStr">
        <is>
          <t>Rynhardt@WearCheckRS.com</t>
        </is>
      </c>
      <c r="C129" s="14" t="inlineStr">
        <is>
          <t>Rynhardt</t>
        </is>
      </c>
      <c r="D129" s="14" t="inlineStr">
        <is>
          <t>Meyer</t>
        </is>
      </c>
      <c r="E129" s="14" t="inlineStr">
        <is>
          <t>RS</t>
        </is>
      </c>
      <c r="F129" s="14" t="inlineStr">
        <is>
          <t>NDT Technician</t>
        </is>
      </c>
      <c r="G129" s="14" t="inlineStr">
        <is>
          <t>ZA</t>
        </is>
      </c>
      <c r="H129" s="14" t="inlineStr">
        <is>
          <t>2021-10-27 08:16:33Z</t>
        </is>
      </c>
      <c r="I129" s="14" t="inlineStr">
        <is>
          <t>No</t>
        </is>
      </c>
      <c r="J129" s="14" t="inlineStr">
        <is>
          <t>Microsoft Defender for Office 365 (Plan 2)+Microsoft 365 Business Standard</t>
        </is>
      </c>
      <c r="K129" s="14" t="n">
        <v>2</v>
      </c>
    </row>
    <row r="130">
      <c r="A130" s="14" t="inlineStr">
        <is>
          <t>Rynhardt Smit</t>
        </is>
      </c>
      <c r="B130" s="14" t="inlineStr">
        <is>
          <t>Rynhardt.Smit@WearCheckRS.com</t>
        </is>
      </c>
      <c r="C130" s="14" t="inlineStr">
        <is>
          <t>Rynhardt</t>
        </is>
      </c>
      <c r="D130" s="14" t="inlineStr">
        <is>
          <t>Smit</t>
        </is>
      </c>
      <c r="E130" s="14" t="inlineStr"/>
      <c r="F130" s="14" t="inlineStr"/>
      <c r="G130" s="14" t="inlineStr">
        <is>
          <t>ZA</t>
        </is>
      </c>
      <c r="H130" s="14" t="inlineStr">
        <is>
          <t>2025-02-20 16:37:59Z</t>
        </is>
      </c>
      <c r="I130" s="14" t="inlineStr">
        <is>
          <t>No</t>
        </is>
      </c>
      <c r="J130" s="14" t="inlineStr">
        <is>
          <t>Microsoft Defender for Office 365 (Plan 2)+Microsoft 365 Business Standard</t>
        </is>
      </c>
      <c r="K130" s="14" t="n">
        <v>2</v>
      </c>
    </row>
    <row r="131">
      <c r="A131" s="14" t="inlineStr">
        <is>
          <t>Sergent Thlou</t>
        </is>
      </c>
      <c r="B131" s="14" t="inlineStr">
        <is>
          <t>sergent@WearCheckRS.com</t>
        </is>
      </c>
      <c r="C131" s="14" t="inlineStr">
        <is>
          <t>Sergent</t>
        </is>
      </c>
      <c r="D131" s="14" t="inlineStr">
        <is>
          <t>Thlou</t>
        </is>
      </c>
      <c r="E131" s="14" t="inlineStr"/>
      <c r="F131" s="14" t="inlineStr"/>
      <c r="G131" s="14" t="inlineStr">
        <is>
          <t>ZA</t>
        </is>
      </c>
      <c r="H131" s="14" t="inlineStr">
        <is>
          <t>2022-05-17 10:18:21Z</t>
        </is>
      </c>
      <c r="I131" s="14" t="inlineStr">
        <is>
          <t>No</t>
        </is>
      </c>
      <c r="J131" s="14" t="inlineStr">
        <is>
          <t>Microsoft Defender for Office 365 (Plan 2)+Microsoft 365 Business Standard</t>
        </is>
      </c>
      <c r="K131" s="14" t="n">
        <v>2</v>
      </c>
    </row>
    <row r="132">
      <c r="A132" s="14" t="inlineStr">
        <is>
          <t>Service Account SQL DB Mail</t>
        </is>
      </c>
      <c r="B132" s="14" t="inlineStr">
        <is>
          <t>srv_acc_sql_mail@WearCheckRS.com</t>
        </is>
      </c>
      <c r="C132" s="14" t="inlineStr">
        <is>
          <t>Service Account SQL DB Mail</t>
        </is>
      </c>
      <c r="D132" s="14" t="inlineStr"/>
      <c r="E132" s="14" t="inlineStr"/>
      <c r="F132" s="14" t="inlineStr"/>
      <c r="G132" s="14" t="inlineStr">
        <is>
          <t>ZA</t>
        </is>
      </c>
      <c r="H132" s="14" t="inlineStr">
        <is>
          <t>2023-06-22 13:48:14Z</t>
        </is>
      </c>
      <c r="I132" s="14" t="inlineStr">
        <is>
          <t>No</t>
        </is>
      </c>
      <c r="J132" s="14" t="inlineStr">
        <is>
          <t>Exchange Online (Plan 1)</t>
        </is>
      </c>
      <c r="K132" s="14" t="n">
        <v>1</v>
      </c>
    </row>
    <row r="133">
      <c r="A133" s="14" t="inlineStr">
        <is>
          <t>Service Account SSRS</t>
        </is>
      </c>
      <c r="B133" s="14" t="inlineStr">
        <is>
          <t>srv_acc_ssrs@WearCheckRS.com</t>
        </is>
      </c>
      <c r="C133" s="14" t="inlineStr"/>
      <c r="D133" s="14" t="inlineStr"/>
      <c r="E133" s="14" t="inlineStr"/>
      <c r="F133" s="14" t="inlineStr"/>
      <c r="G133" s="14" t="inlineStr">
        <is>
          <t>ZA</t>
        </is>
      </c>
      <c r="H133" s="14" t="inlineStr">
        <is>
          <t>2023-07-28 09:18:32Z</t>
        </is>
      </c>
      <c r="I133" s="14" t="inlineStr">
        <is>
          <t>No</t>
        </is>
      </c>
      <c r="J133" s="14" t="inlineStr">
        <is>
          <t>Power Automate per user plan+Microsoft Power Automate Free</t>
        </is>
      </c>
      <c r="K133" s="14" t="n">
        <v>2</v>
      </c>
    </row>
    <row r="134">
      <c r="A134" s="14" t="inlineStr">
        <is>
          <t>Shaun Janse van Rensburg</t>
        </is>
      </c>
      <c r="B134" s="14" t="inlineStr">
        <is>
          <t>shaun@WearCheckRS.com</t>
        </is>
      </c>
      <c r="C134" s="14" t="inlineStr">
        <is>
          <t>Shaun</t>
        </is>
      </c>
      <c r="D134" s="14" t="inlineStr">
        <is>
          <t>Janse van Rensburg</t>
        </is>
      </c>
      <c r="E134" s="14" t="inlineStr">
        <is>
          <t>AFS</t>
        </is>
      </c>
      <c r="F134" s="14" t="inlineStr">
        <is>
          <t>Technical Auditor</t>
        </is>
      </c>
      <c r="G134" s="14" t="inlineStr">
        <is>
          <t>ZA</t>
        </is>
      </c>
      <c r="H134" s="14" t="inlineStr">
        <is>
          <t>2025-02-11 12:26:07Z</t>
        </is>
      </c>
      <c r="I134" s="14" t="inlineStr">
        <is>
          <t>No</t>
        </is>
      </c>
      <c r="J134" s="14" t="inlineStr">
        <is>
          <t>Microsoft Defender for Office 365 (Plan 2)+Microsoft 365 Business Standard</t>
        </is>
      </c>
      <c r="K134" s="14" t="n">
        <v>2</v>
      </c>
    </row>
    <row r="135">
      <c r="A135" s="14" t="inlineStr">
        <is>
          <t>Shivon Alberts</t>
        </is>
      </c>
      <c r="B135" s="14" t="inlineStr">
        <is>
          <t>Shivon@WearCheckRS.com</t>
        </is>
      </c>
      <c r="C135" s="14" t="inlineStr">
        <is>
          <t>Shivon</t>
        </is>
      </c>
      <c r="D135" s="14" t="inlineStr">
        <is>
          <t>Alberts</t>
        </is>
      </c>
      <c r="E135" s="14" t="inlineStr">
        <is>
          <t>Administration</t>
        </is>
      </c>
      <c r="F135" s="14" t="inlineStr">
        <is>
          <t>Administrator</t>
        </is>
      </c>
      <c r="G135" s="14" t="inlineStr">
        <is>
          <t>ZA</t>
        </is>
      </c>
      <c r="H135" s="14" t="inlineStr">
        <is>
          <t>2024-10-07 07:53:12Z</t>
        </is>
      </c>
      <c r="I135" s="14" t="inlineStr">
        <is>
          <t>No</t>
        </is>
      </c>
      <c r="J135" s="14" t="inlineStr">
        <is>
          <t>Microsoft 365 Business Premium+Microsoft Defender for Office 365 (Plan 2)+Microsoft Fabric (Free)</t>
        </is>
      </c>
      <c r="K135" s="14" t="n">
        <v>3</v>
      </c>
    </row>
    <row r="136">
      <c r="A136" s="14" t="inlineStr">
        <is>
          <t>Simon Difutso</t>
        </is>
      </c>
      <c r="B136" s="14" t="inlineStr">
        <is>
          <t>simondifutso@WearCheckRS.com</t>
        </is>
      </c>
      <c r="C136" s="14" t="inlineStr">
        <is>
          <t>Simon</t>
        </is>
      </c>
      <c r="D136" s="14" t="inlineStr">
        <is>
          <t>Difutso</t>
        </is>
      </c>
      <c r="E136" s="14" t="inlineStr"/>
      <c r="F136" s="14" t="inlineStr"/>
      <c r="G136" s="14" t="inlineStr">
        <is>
          <t>ZA</t>
        </is>
      </c>
      <c r="H136" s="14" t="inlineStr">
        <is>
          <t>2024-06-26 21:55:38Z</t>
        </is>
      </c>
      <c r="I136" s="14" t="inlineStr">
        <is>
          <t>No</t>
        </is>
      </c>
      <c r="J136" s="14" t="inlineStr">
        <is>
          <t>Microsoft Defender for Office 365 (Plan 2)+Microsoft 365 Business Standard</t>
        </is>
      </c>
      <c r="K136" s="14" t="n">
        <v>2</v>
      </c>
    </row>
    <row r="137">
      <c r="A137" s="14" t="inlineStr">
        <is>
          <t>Simon Mosima</t>
        </is>
      </c>
      <c r="B137" s="14" t="inlineStr">
        <is>
          <t>Simon@WearCheckRS.com</t>
        </is>
      </c>
      <c r="C137" s="14" t="inlineStr">
        <is>
          <t>Simon</t>
        </is>
      </c>
      <c r="D137" s="14" t="inlineStr">
        <is>
          <t>Mosima</t>
        </is>
      </c>
      <c r="E137" s="14" t="inlineStr"/>
      <c r="F137" s="14" t="inlineStr"/>
      <c r="G137" s="14" t="inlineStr">
        <is>
          <t>ZA</t>
        </is>
      </c>
      <c r="H137" s="14" t="inlineStr">
        <is>
          <t>2022-02-10 14:33:32Z</t>
        </is>
      </c>
      <c r="I137" s="14" t="inlineStr">
        <is>
          <t>No</t>
        </is>
      </c>
      <c r="J137" s="14" t="inlineStr">
        <is>
          <t>Microsoft Defender for Office 365 (Plan 2)+Microsoft 365 Business Standard</t>
        </is>
      </c>
      <c r="K137" s="14" t="n">
        <v>2</v>
      </c>
    </row>
    <row r="138">
      <c r="A138" s="14" t="inlineStr">
        <is>
          <t>Sipho Mathibela</t>
        </is>
      </c>
      <c r="B138" s="14" t="inlineStr">
        <is>
          <t>siphom@WearCheckRS.com</t>
        </is>
      </c>
      <c r="C138" s="14" t="inlineStr">
        <is>
          <t>Sipho</t>
        </is>
      </c>
      <c r="D138" s="14" t="inlineStr">
        <is>
          <t>Mathibela</t>
        </is>
      </c>
      <c r="E138" s="14" t="inlineStr"/>
      <c r="F138" s="14" t="inlineStr"/>
      <c r="G138" s="14" t="inlineStr">
        <is>
          <t>ZA</t>
        </is>
      </c>
      <c r="H138" s="14" t="inlineStr">
        <is>
          <t>2022-05-17 10:20:04Z</t>
        </is>
      </c>
      <c r="I138" s="14" t="inlineStr">
        <is>
          <t>No</t>
        </is>
      </c>
      <c r="J138" s="14" t="inlineStr">
        <is>
          <t>Microsoft Defender for Office 365 (Plan 2)+Microsoft 365 Business Standard</t>
        </is>
      </c>
      <c r="K138" s="14" t="n">
        <v>2</v>
      </c>
    </row>
    <row r="139">
      <c r="A139" s="14" t="inlineStr">
        <is>
          <t>Sipho Zwane</t>
        </is>
      </c>
      <c r="B139" s="14" t="inlineStr">
        <is>
          <t>siphoz@WearCheckRS.com</t>
        </is>
      </c>
      <c r="C139" s="14" t="inlineStr">
        <is>
          <t>Sipho</t>
        </is>
      </c>
      <c r="D139" s="14" t="inlineStr">
        <is>
          <t>Zwane</t>
        </is>
      </c>
      <c r="E139" s="14" t="inlineStr"/>
      <c r="F139" s="14" t="inlineStr"/>
      <c r="G139" s="14" t="inlineStr">
        <is>
          <t>ZA</t>
        </is>
      </c>
      <c r="H139" s="14" t="inlineStr">
        <is>
          <t>2022-05-17 10:20:30Z</t>
        </is>
      </c>
      <c r="I139" s="14" t="inlineStr">
        <is>
          <t>No</t>
        </is>
      </c>
      <c r="J139" s="14" t="inlineStr">
        <is>
          <t>Microsoft Defender for Office 365 (Plan 2)+Microsoft 365 Business Standard</t>
        </is>
      </c>
      <c r="K139" s="14" t="n">
        <v>2</v>
      </c>
    </row>
    <row r="140">
      <c r="A140" s="14" t="inlineStr">
        <is>
          <t>Stephanie Du Plessis</t>
        </is>
      </c>
      <c r="B140" s="14" t="inlineStr">
        <is>
          <t>stephanied@wearcheckrs.com</t>
        </is>
      </c>
      <c r="C140" s="14" t="inlineStr">
        <is>
          <t>Stephanie</t>
        </is>
      </c>
      <c r="D140" s="14" t="inlineStr">
        <is>
          <t>Du Plessis</t>
        </is>
      </c>
      <c r="E140" s="14" t="inlineStr"/>
      <c r="F140" s="14" t="inlineStr"/>
      <c r="G140" s="14" t="inlineStr">
        <is>
          <t>ZA</t>
        </is>
      </c>
      <c r="H140" s="14" t="inlineStr">
        <is>
          <t>2021-05-25 18:10:51Z</t>
        </is>
      </c>
      <c r="I140" s="14" t="inlineStr">
        <is>
          <t>No</t>
        </is>
      </c>
      <c r="J140" s="14" t="inlineStr">
        <is>
          <t>Microsoft 365 Business Standard+Microsoft Defender for Office 365 (Plan 2)</t>
        </is>
      </c>
      <c r="K140" s="14" t="n">
        <v>2</v>
      </c>
    </row>
    <row r="141">
      <c r="A141" s="14" t="inlineStr">
        <is>
          <t>Teresa Venter</t>
        </is>
      </c>
      <c r="B141" s="14" t="inlineStr">
        <is>
          <t>teresa.venter@WearCheckRS.com</t>
        </is>
      </c>
      <c r="C141" s="14" t="inlineStr">
        <is>
          <t>Teresa</t>
        </is>
      </c>
      <c r="D141" s="14" t="inlineStr">
        <is>
          <t>Venter</t>
        </is>
      </c>
      <c r="E141" s="14" t="inlineStr"/>
      <c r="F141" s="14" t="inlineStr"/>
      <c r="G141" s="14" t="inlineStr">
        <is>
          <t>ZA</t>
        </is>
      </c>
      <c r="H141" s="14" t="inlineStr">
        <is>
          <t>2023-02-17 07:24:34Z</t>
        </is>
      </c>
      <c r="I141" s="14" t="inlineStr">
        <is>
          <t>No</t>
        </is>
      </c>
      <c r="J141" s="14" t="inlineStr">
        <is>
          <t>Microsoft Defender for Office 365 (Plan 2)+Microsoft Power Automate Free+Microsoft 365 Business Standard</t>
        </is>
      </c>
      <c r="K141" s="14" t="n">
        <v>3</v>
      </c>
    </row>
    <row r="142">
      <c r="A142" s="14" t="inlineStr">
        <is>
          <t>Thabang Mathumba</t>
        </is>
      </c>
      <c r="B142" s="14" t="inlineStr">
        <is>
          <t>thabang@WearCheckRS.com</t>
        </is>
      </c>
      <c r="C142" s="14" t="inlineStr">
        <is>
          <t>Thabang</t>
        </is>
      </c>
      <c r="D142" s="14" t="inlineStr">
        <is>
          <t>Mathumba</t>
        </is>
      </c>
      <c r="E142" s="14" t="inlineStr"/>
      <c r="F142" s="14" t="inlineStr"/>
      <c r="G142" s="14" t="inlineStr">
        <is>
          <t>ZA</t>
        </is>
      </c>
      <c r="H142" s="14" t="inlineStr">
        <is>
          <t>2022-05-17 10:22:36Z</t>
        </is>
      </c>
      <c r="I142" s="14" t="inlineStr">
        <is>
          <t>No</t>
        </is>
      </c>
      <c r="J142" s="14" t="inlineStr">
        <is>
          <t>Microsoft Defender for Office 365 (Plan 2)+Microsoft 365 Business Standard</t>
        </is>
      </c>
      <c r="K142" s="14" t="n">
        <v>2</v>
      </c>
    </row>
    <row r="143">
      <c r="A143" s="14" t="inlineStr">
        <is>
          <t>Thapelo Mohlala</t>
        </is>
      </c>
      <c r="B143" s="14" t="inlineStr">
        <is>
          <t>Thapelo@WearCheckRS.com</t>
        </is>
      </c>
      <c r="C143" s="14" t="inlineStr">
        <is>
          <t>Thapelo</t>
        </is>
      </c>
      <c r="D143" s="14" t="inlineStr">
        <is>
          <t>Mohlala</t>
        </is>
      </c>
      <c r="E143" s="14" t="inlineStr"/>
      <c r="F143" s="14" t="inlineStr"/>
      <c r="G143" s="14" t="inlineStr">
        <is>
          <t>ZA</t>
        </is>
      </c>
      <c r="H143" s="14" t="inlineStr">
        <is>
          <t>2024-08-26 12:49:36Z</t>
        </is>
      </c>
      <c r="I143" s="14" t="inlineStr">
        <is>
          <t>No</t>
        </is>
      </c>
      <c r="J143" s="14" t="inlineStr">
        <is>
          <t>Microsoft Defender for Office 365 (Plan 2)+Microsoft 365 Business Standard</t>
        </is>
      </c>
      <c r="K143" s="14" t="n">
        <v>2</v>
      </c>
    </row>
    <row r="144">
      <c r="A144" s="14" t="inlineStr">
        <is>
          <t>Thomas Mdhlala</t>
        </is>
      </c>
      <c r="B144" s="14" t="inlineStr">
        <is>
          <t>thomas@WearCheckRS.com</t>
        </is>
      </c>
      <c r="C144" s="14" t="inlineStr">
        <is>
          <t>Thomas</t>
        </is>
      </c>
      <c r="D144" s="14" t="inlineStr">
        <is>
          <t>Mdhlala</t>
        </is>
      </c>
      <c r="E144" s="14" t="inlineStr"/>
      <c r="F144" s="14" t="inlineStr"/>
      <c r="G144" s="14" t="inlineStr">
        <is>
          <t>ZA</t>
        </is>
      </c>
      <c r="H144" s="14" t="inlineStr">
        <is>
          <t>2022-05-17 10:25:48Z</t>
        </is>
      </c>
      <c r="I144" s="14" t="inlineStr">
        <is>
          <t>No</t>
        </is>
      </c>
      <c r="J144" s="14" t="inlineStr">
        <is>
          <t>Microsoft Defender for Office 365 (Plan 2)+Microsoft 365 Business Standard</t>
        </is>
      </c>
      <c r="K144" s="14" t="n">
        <v>2</v>
      </c>
    </row>
    <row r="145">
      <c r="A145" s="14" t="inlineStr">
        <is>
          <t>Thulani Tembe</t>
        </is>
      </c>
      <c r="B145" s="14" t="inlineStr">
        <is>
          <t>thulani@WearCheckRS.com</t>
        </is>
      </c>
      <c r="C145" s="14" t="inlineStr">
        <is>
          <t>Thulani</t>
        </is>
      </c>
      <c r="D145" s="14" t="inlineStr">
        <is>
          <t>Tembe</t>
        </is>
      </c>
      <c r="E145" s="14" t="inlineStr"/>
      <c r="F145" s="14" t="inlineStr"/>
      <c r="G145" s="14" t="inlineStr">
        <is>
          <t>ZA</t>
        </is>
      </c>
      <c r="H145" s="14" t="inlineStr">
        <is>
          <t>2022-05-17 10:29:54Z</t>
        </is>
      </c>
      <c r="I145" s="14" t="inlineStr">
        <is>
          <t>No</t>
        </is>
      </c>
      <c r="J145" s="14" t="inlineStr">
        <is>
          <t>Microsoft Defender for Office 365 (Plan 2)+Microsoft Power Automate Free+Microsoft 365 Business Standard</t>
        </is>
      </c>
      <c r="K145" s="14" t="n">
        <v>3</v>
      </c>
    </row>
    <row r="146">
      <c r="A146" s="14" t="inlineStr">
        <is>
          <t>Tonny Simelani</t>
        </is>
      </c>
      <c r="B146" s="14" t="inlineStr">
        <is>
          <t>tonny@WearCheckRS.com</t>
        </is>
      </c>
      <c r="C146" s="14" t="inlineStr">
        <is>
          <t>Tonny</t>
        </is>
      </c>
      <c r="D146" s="14" t="inlineStr">
        <is>
          <t>Simelani</t>
        </is>
      </c>
      <c r="E146" s="14" t="inlineStr"/>
      <c r="F146" s="14" t="inlineStr"/>
      <c r="G146" s="14" t="inlineStr">
        <is>
          <t>ZA</t>
        </is>
      </c>
      <c r="H146" s="14" t="inlineStr">
        <is>
          <t>2022-05-17 10:31:43Z</t>
        </is>
      </c>
      <c r="I146" s="14" t="inlineStr">
        <is>
          <t>No</t>
        </is>
      </c>
      <c r="J146" s="14" t="inlineStr">
        <is>
          <t>Microsoft Defender for Office 365 (Plan 2)+Microsoft 365 Business Standard</t>
        </is>
      </c>
      <c r="K146" s="14" t="n">
        <v>2</v>
      </c>
    </row>
    <row r="147">
      <c r="A147" s="14" t="inlineStr">
        <is>
          <t>Tsietsi Monnanyne</t>
        </is>
      </c>
      <c r="B147" s="14" t="inlineStr">
        <is>
          <t>tsietsi@WearCheckRS.com</t>
        </is>
      </c>
      <c r="C147" s="14" t="inlineStr">
        <is>
          <t>Tsietsi</t>
        </is>
      </c>
      <c r="D147" s="14" t="inlineStr">
        <is>
          <t>Monnanyne</t>
        </is>
      </c>
      <c r="E147" s="14" t="inlineStr"/>
      <c r="F147" s="14" t="inlineStr"/>
      <c r="G147" s="14" t="inlineStr">
        <is>
          <t>ZA</t>
        </is>
      </c>
      <c r="H147" s="14" t="inlineStr">
        <is>
          <t>2025-04-08 11:28:08Z</t>
        </is>
      </c>
      <c r="I147" s="14" t="inlineStr">
        <is>
          <t>No</t>
        </is>
      </c>
      <c r="J147" s="14" t="inlineStr">
        <is>
          <t>Microsoft Fabric (Free)+Microsoft 365 Business Standard</t>
        </is>
      </c>
      <c r="K147" s="14" t="n">
        <v>2</v>
      </c>
    </row>
    <row r="148">
      <c r="A148" s="14" t="inlineStr">
        <is>
          <t>Tumelo</t>
        </is>
      </c>
      <c r="B148" s="14" t="inlineStr">
        <is>
          <t>tumelo.samancor@WearCheckRS.com</t>
        </is>
      </c>
      <c r="C148" s="14" t="inlineStr"/>
      <c r="D148" s="14" t="inlineStr"/>
      <c r="E148" s="14" t="inlineStr"/>
      <c r="F148" s="14" t="inlineStr"/>
      <c r="G148" s="14" t="inlineStr">
        <is>
          <t>ZA</t>
        </is>
      </c>
      <c r="H148" s="14" t="inlineStr">
        <is>
          <t>2025-02-21 11:31:39Z</t>
        </is>
      </c>
      <c r="I148" s="14" t="inlineStr">
        <is>
          <t>No</t>
        </is>
      </c>
      <c r="J148" s="14" t="inlineStr">
        <is>
          <t>Microsoft Fabric (Free)</t>
        </is>
      </c>
      <c r="K148" s="14" t="n">
        <v>1</v>
      </c>
    </row>
    <row r="149">
      <c r="A149" s="14" t="inlineStr">
        <is>
          <t>Vernon Calvert</t>
        </is>
      </c>
      <c r="B149" s="14" t="inlineStr">
        <is>
          <t>Vernon@WearCheckRS.com</t>
        </is>
      </c>
      <c r="C149" s="14" t="inlineStr">
        <is>
          <t>Vernon</t>
        </is>
      </c>
      <c r="D149" s="14" t="inlineStr">
        <is>
          <t>Calvert</t>
        </is>
      </c>
      <c r="E149" s="14" t="inlineStr">
        <is>
          <t>ARC</t>
        </is>
      </c>
      <c r="F149" s="14" t="inlineStr">
        <is>
          <t>NDT Technician</t>
        </is>
      </c>
      <c r="G149" s="14" t="inlineStr">
        <is>
          <t>ZA</t>
        </is>
      </c>
      <c r="H149" s="14" t="inlineStr">
        <is>
          <t>2024-02-23 10:48:48Z</t>
        </is>
      </c>
      <c r="I149" s="14" t="inlineStr">
        <is>
          <t>No</t>
        </is>
      </c>
      <c r="J149" s="14" t="inlineStr">
        <is>
          <t>Microsoft Defender for Office 365 (Plan 2)+Microsoft 365 Business Standard</t>
        </is>
      </c>
      <c r="K149" s="14" t="n">
        <v>2</v>
      </c>
    </row>
    <row r="150">
      <c r="A150" s="14" t="inlineStr">
        <is>
          <t>WCKRS-HSEQ</t>
        </is>
      </c>
      <c r="B150" s="14" t="inlineStr">
        <is>
          <t>HSEQ@WearCheckRS.com</t>
        </is>
      </c>
      <c r="C150" s="14" t="inlineStr">
        <is>
          <t>WCK/RS/HSEQ</t>
        </is>
      </c>
      <c r="D150" s="14" t="inlineStr">
        <is>
          <t>PORTAL</t>
        </is>
      </c>
      <c r="E150" s="14" t="inlineStr"/>
      <c r="F150" s="14" t="inlineStr"/>
      <c r="G150" s="14" t="inlineStr">
        <is>
          <t>ZA</t>
        </is>
      </c>
      <c r="H150" s="14" t="inlineStr">
        <is>
          <t>2020-08-15 09:29:19Z</t>
        </is>
      </c>
      <c r="I150" s="14" t="inlineStr">
        <is>
          <t>No</t>
        </is>
      </c>
      <c r="J150" s="14" t="inlineStr">
        <is>
          <t>Microsoft Defender for Office 365 (Plan 2)+Microsoft 365 E3</t>
        </is>
      </c>
      <c r="K150" s="14" t="n">
        <v>2</v>
      </c>
    </row>
    <row r="151">
      <c r="A151" s="14" t="inlineStr">
        <is>
          <t>Wihan Willer</t>
        </is>
      </c>
      <c r="B151" s="14" t="inlineStr">
        <is>
          <t>Wihan@WearCheckRS.com</t>
        </is>
      </c>
      <c r="C151" s="14" t="inlineStr">
        <is>
          <t>Wihan</t>
        </is>
      </c>
      <c r="D151" s="14" t="inlineStr">
        <is>
          <t>Willer</t>
        </is>
      </c>
      <c r="E151" s="14" t="inlineStr"/>
      <c r="F151" s="14" t="inlineStr"/>
      <c r="G151" s="14" t="inlineStr">
        <is>
          <t>ZA</t>
        </is>
      </c>
      <c r="H151" s="14" t="inlineStr">
        <is>
          <t>2024-08-05 07:59:34Z</t>
        </is>
      </c>
      <c r="I151" s="14" t="inlineStr">
        <is>
          <t>No</t>
        </is>
      </c>
      <c r="J151" s="14" t="inlineStr">
        <is>
          <t>Microsoft Defender for Office 365 (Plan 2)+Microsoft 365 Business Standard</t>
        </is>
      </c>
      <c r="K151" s="14" t="n">
        <v>2</v>
      </c>
    </row>
    <row r="152"/>
    <row r="153">
      <c r="A153" s="2" t="inlineStr">
        <is>
          <t>SKU Summary: Admin CSV vs Invoice</t>
        </is>
      </c>
    </row>
    <row r="154">
      <c r="A154" s="13" t="inlineStr">
        <is>
          <t>SKU</t>
        </is>
      </c>
      <c r="B154" s="13" t="inlineStr">
        <is>
          <t>CSV Users</t>
        </is>
      </c>
      <c r="C154" s="13" t="inlineStr">
        <is>
          <t>Admin Export Users</t>
        </is>
      </c>
      <c r="D154" s="13" t="inlineStr">
        <is>
          <t>Invoice Qty</t>
        </is>
      </c>
      <c r="E154" s="13" t="inlineStr">
        <is>
          <t>CSV vs Export</t>
        </is>
      </c>
      <c r="F154" s="13" t="inlineStr">
        <is>
          <t>Invoice vs CSV (Purchased − Assigned)</t>
        </is>
      </c>
      <c r="G154" s="13" t="inlineStr">
        <is>
          <t>Unit Price (ZAR)</t>
        </is>
      </c>
      <c r="H154" s="13" t="inlineStr">
        <is>
          <t>Unassigned Licence Cost (ZAR/month)</t>
        </is>
      </c>
    </row>
    <row r="155">
      <c r="A155" s="14" t="inlineStr">
        <is>
          <t>Exchange Online (Plan 1)</t>
        </is>
      </c>
      <c r="B155" s="14" t="n">
        <v>4</v>
      </c>
      <c r="C155" s="14" t="n">
        <v>4</v>
      </c>
      <c r="D155" s="14" t="n">
        <v>4</v>
      </c>
      <c r="E155" s="19" t="inlineStr">
        <is>
          <t>MATCH</t>
        </is>
      </c>
      <c r="F155" s="19" t="n">
        <v>0</v>
      </c>
      <c r="G155" s="18" t="n">
        <v>67.03</v>
      </c>
      <c r="H155" s="18" t="n">
        <v>0</v>
      </c>
    </row>
    <row r="156">
      <c r="A156" s="14" t="inlineStr">
        <is>
          <t>Microsoft 365 Business Premium</t>
        </is>
      </c>
      <c r="B156" s="14" t="n">
        <v>21</v>
      </c>
      <c r="C156" s="14" t="n">
        <v>21</v>
      </c>
      <c r="D156" s="14" t="n">
        <v>23</v>
      </c>
      <c r="E156" s="19" t="inlineStr">
        <is>
          <t>MATCH</t>
        </is>
      </c>
      <c r="F156" s="20" t="n">
        <v>2</v>
      </c>
      <c r="G156" s="18" t="n">
        <v>368.6799999999999</v>
      </c>
      <c r="H156" s="48" t="n">
        <v>737.3599999999999</v>
      </c>
    </row>
    <row r="157">
      <c r="A157" s="14" t="inlineStr">
        <is>
          <t>Microsoft 365 Business Standard</t>
        </is>
      </c>
      <c r="B157" s="14" t="n">
        <v>100</v>
      </c>
      <c r="C157" s="14" t="n">
        <v>100</v>
      </c>
      <c r="D157" s="14" t="n">
        <v>97</v>
      </c>
      <c r="E157" s="19" t="inlineStr">
        <is>
          <t>MATCH</t>
        </is>
      </c>
      <c r="F157" s="16" t="n">
        <v>-3</v>
      </c>
      <c r="G157" s="18" t="n">
        <v>209.55</v>
      </c>
      <c r="H157" s="18" t="n">
        <v>0</v>
      </c>
    </row>
    <row r="158">
      <c r="A158" s="14" t="inlineStr">
        <is>
          <t>Microsoft 365 E3</t>
        </is>
      </c>
      <c r="B158" s="14" t="n">
        <v>14</v>
      </c>
      <c r="C158" s="14" t="n">
        <v>14</v>
      </c>
      <c r="D158" s="14" t="n">
        <v>15</v>
      </c>
      <c r="E158" s="19" t="inlineStr">
        <is>
          <t>MATCH</t>
        </is>
      </c>
      <c r="F158" s="20" t="n">
        <v>1</v>
      </c>
      <c r="G158" s="18" t="n">
        <v>603.2900000000001</v>
      </c>
      <c r="H158" s="48" t="n">
        <v>603.2900000000001</v>
      </c>
    </row>
    <row r="159">
      <c r="A159" s="14" t="inlineStr">
        <is>
          <t>Microsoft Defender for Office 365 (Plan 2)</t>
        </is>
      </c>
      <c r="B159" s="14" t="n">
        <v>130</v>
      </c>
      <c r="C159" s="14" t="n">
        <v>130</v>
      </c>
      <c r="D159" s="14" t="n">
        <v>130</v>
      </c>
      <c r="E159" s="19" t="inlineStr">
        <is>
          <t>MATCH</t>
        </is>
      </c>
      <c r="F159" s="19" t="n">
        <v>0</v>
      </c>
      <c r="G159" s="18" t="n">
        <v>83.79000000000001</v>
      </c>
      <c r="H159" s="18" t="n">
        <v>0</v>
      </c>
    </row>
    <row r="160">
      <c r="A160" s="14" t="inlineStr">
        <is>
          <t>Power Apps per app plan (1 app or website)</t>
        </is>
      </c>
      <c r="B160" s="14" t="n">
        <v>0</v>
      </c>
      <c r="C160" s="14" t="n">
        <v>0</v>
      </c>
      <c r="D160" s="14" t="n">
        <v>3</v>
      </c>
      <c r="E160" s="19" t="inlineStr">
        <is>
          <t>MATCH</t>
        </is>
      </c>
      <c r="F160" s="20" t="n">
        <v>3</v>
      </c>
      <c r="G160" s="18" t="n">
        <v>83.79000000000001</v>
      </c>
      <c r="H160" s="48" t="n">
        <v>251.37</v>
      </c>
    </row>
    <row r="161">
      <c r="A161" s="14" t="inlineStr">
        <is>
          <t>Power Automate per user plan</t>
        </is>
      </c>
      <c r="B161" s="14" t="n">
        <v>1</v>
      </c>
      <c r="C161" s="14" t="n">
        <v>1</v>
      </c>
      <c r="D161" s="14" t="n">
        <v>1</v>
      </c>
      <c r="E161" s="19" t="inlineStr">
        <is>
          <t>MATCH</t>
        </is>
      </c>
      <c r="F161" s="19" t="n">
        <v>0</v>
      </c>
      <c r="G161" s="18" t="n">
        <v>251.37</v>
      </c>
      <c r="H161" s="18" t="n">
        <v>0</v>
      </c>
    </row>
    <row r="162">
      <c r="A162" s="14" t="inlineStr">
        <is>
          <t>Power BI Premium Per User</t>
        </is>
      </c>
      <c r="B162" s="14" t="n">
        <v>6</v>
      </c>
      <c r="C162" s="14" t="n">
        <v>6</v>
      </c>
      <c r="D162" s="14" t="n">
        <v>7</v>
      </c>
      <c r="E162" s="19" t="inlineStr">
        <is>
          <t>MATCH</t>
        </is>
      </c>
      <c r="F162" s="20" t="n">
        <v>1</v>
      </c>
      <c r="G162" s="18" t="n">
        <v>402.19</v>
      </c>
      <c r="H162" s="48" t="n">
        <v>402.19</v>
      </c>
    </row>
    <row r="163">
      <c r="A163" s="37" t="inlineStr">
        <is>
          <t>TOTAL</t>
        </is>
      </c>
      <c r="B163" s="34" t="n"/>
      <c r="C163" s="34" t="n"/>
      <c r="D163" s="34" t="n"/>
      <c r="E163" s="34" t="n"/>
      <c r="F163" s="34" t="n"/>
      <c r="G163" s="34" t="n"/>
      <c r="H163" s="47" t="n">
        <v>1994.21</v>
      </c>
    </row>
    <row r="164"/>
    <row r="165"/>
    <row r="166">
      <c r="A166" s="2" t="inlineStr">
        <is>
          <t>Soft-Deleted Accounts (54)</t>
        </is>
      </c>
    </row>
    <row r="167">
      <c r="A167" s="3" t="inlineStr">
        <is>
          <t>These accounts have been soft-deleted. All are unlicensed — no cost impact. Can be permanently purged.</t>
        </is>
      </c>
    </row>
    <row r="168">
      <c r="A168" s="13" t="inlineStr">
        <is>
          <t>Display Name</t>
        </is>
      </c>
      <c r="B168" s="13" t="inlineStr">
        <is>
          <t>UPN</t>
        </is>
      </c>
      <c r="C168" s="13" t="inlineStr">
        <is>
          <t>Deleted Date</t>
        </is>
      </c>
      <c r="D168" s="13" t="inlineStr">
        <is>
          <t>Licences</t>
        </is>
      </c>
    </row>
    <row r="169">
      <c r="A169" s="14" t="inlineStr">
        <is>
          <t>Baloyi</t>
        </is>
      </c>
      <c r="B169" s="14" t="inlineStr">
        <is>
          <t>False</t>
        </is>
      </c>
      <c r="C169" s="14" t="inlineStr">
        <is>
          <t>2022-12-13 09:41:52Z</t>
        </is>
      </c>
      <c r="D169" s="14" t="inlineStr">
        <is>
          <t>False</t>
        </is>
      </c>
    </row>
    <row r="170">
      <c r="A170" s="14" t="inlineStr">
        <is>
          <t>Beket</t>
        </is>
      </c>
      <c r="B170" s="14" t="inlineStr">
        <is>
          <t>False</t>
        </is>
      </c>
      <c r="C170" s="14" t="inlineStr">
        <is>
          <t>2024-04-28 17:16:28Z</t>
        </is>
      </c>
      <c r="D170" s="14" t="inlineStr">
        <is>
          <t>False</t>
        </is>
      </c>
    </row>
    <row r="171">
      <c r="A171" s="14" t="inlineStr">
        <is>
          <t>Beyneveldt</t>
        </is>
      </c>
      <c r="B171" s="14" t="inlineStr">
        <is>
          <t>False</t>
        </is>
      </c>
      <c r="C171" s="14" t="inlineStr">
        <is>
          <t>2021-08-06 10:59:14Z</t>
        </is>
      </c>
      <c r="D171" s="14" t="inlineStr">
        <is>
          <t>False</t>
        </is>
      </c>
    </row>
    <row r="172">
      <c r="A172" s="14" t="inlineStr">
        <is>
          <t>Chisindi</t>
        </is>
      </c>
      <c r="B172" s="14" t="inlineStr">
        <is>
          <t>False</t>
        </is>
      </c>
      <c r="C172" s="14" t="inlineStr">
        <is>
          <t>2022-06-05 15:27:21Z</t>
        </is>
      </c>
      <c r="D172" s="14" t="inlineStr">
        <is>
          <t>False</t>
        </is>
      </c>
    </row>
    <row r="173">
      <c r="A173" s="14" t="inlineStr">
        <is>
          <t>Coetzer</t>
        </is>
      </c>
      <c r="B173" s="14" t="inlineStr">
        <is>
          <t>False</t>
        </is>
      </c>
      <c r="C173" s="14" t="inlineStr">
        <is>
          <t>2022-12-13 09:44:21Z</t>
        </is>
      </c>
      <c r="D173" s="14" t="inlineStr">
        <is>
          <t>False</t>
        </is>
      </c>
    </row>
    <row r="174">
      <c r="A174" s="14" t="inlineStr">
        <is>
          <t>Consalves</t>
        </is>
      </c>
      <c r="B174" s="14" t="inlineStr">
        <is>
          <t>False</t>
        </is>
      </c>
      <c r="C174" s="14" t="inlineStr">
        <is>
          <t>2020-12-02 10:22:05Z</t>
        </is>
      </c>
      <c r="D174" s="14" t="inlineStr">
        <is>
          <t>False</t>
        </is>
      </c>
    </row>
    <row r="175">
      <c r="A175" s="14" t="inlineStr">
        <is>
          <t>Daniel</t>
        </is>
      </c>
      <c r="B175" s="14" t="inlineStr">
        <is>
          <t>False</t>
        </is>
      </c>
      <c r="C175" s="14" t="inlineStr">
        <is>
          <t>2025-09-30 09:16:23Z</t>
        </is>
      </c>
      <c r="D175" s="14" t="inlineStr">
        <is>
          <t>False</t>
        </is>
      </c>
    </row>
    <row r="176">
      <c r="A176" s="14" t="inlineStr">
        <is>
          <t>Davis</t>
        </is>
      </c>
      <c r="B176" s="14" t="inlineStr">
        <is>
          <t>False</t>
        </is>
      </c>
      <c r="C176" s="14" t="inlineStr">
        <is>
          <t>2020-11-12 08:55:38Z</t>
        </is>
      </c>
      <c r="D176" s="14" t="inlineStr">
        <is>
          <t>False</t>
        </is>
      </c>
    </row>
    <row r="177">
      <c r="A177" s="14" t="inlineStr">
        <is>
          <t>DuPlessis</t>
        </is>
      </c>
      <c r="B177" s="14" t="inlineStr">
        <is>
          <t>False</t>
        </is>
      </c>
      <c r="C177" s="14" t="inlineStr">
        <is>
          <t>2023-05-29 15:58:32Z</t>
        </is>
      </c>
      <c r="D177" s="14" t="inlineStr">
        <is>
          <t>False</t>
        </is>
      </c>
    </row>
    <row r="178">
      <c r="A178" s="14" t="inlineStr">
        <is>
          <t>Fernandez</t>
        </is>
      </c>
      <c r="B178" s="14" t="inlineStr">
        <is>
          <t>False</t>
        </is>
      </c>
      <c r="C178" s="14" t="inlineStr">
        <is>
          <t>2022-12-06 11:26:57Z</t>
        </is>
      </c>
      <c r="D178" s="14" t="inlineStr">
        <is>
          <t>False</t>
        </is>
      </c>
    </row>
    <row r="179">
      <c r="A179" s="14" t="inlineStr">
        <is>
          <t>Gordhan</t>
        </is>
      </c>
      <c r="B179" s="14" t="inlineStr">
        <is>
          <t>False</t>
        </is>
      </c>
      <c r="C179" s="14" t="inlineStr">
        <is>
          <t>2022-06-03 10:36:19Z</t>
        </is>
      </c>
      <c r="D179" s="14" t="inlineStr">
        <is>
          <t>False</t>
        </is>
      </c>
    </row>
    <row r="180">
      <c r="A180" s="14" t="inlineStr">
        <is>
          <t>Gouws</t>
        </is>
      </c>
      <c r="B180" s="14" t="inlineStr">
        <is>
          <t>False</t>
        </is>
      </c>
      <c r="C180" s="14" t="inlineStr">
        <is>
          <t>2022-07-07 06:33:00Z</t>
        </is>
      </c>
      <c r="D180" s="14" t="inlineStr">
        <is>
          <t>False</t>
        </is>
      </c>
    </row>
    <row r="181">
      <c r="A181" s="14" t="inlineStr">
        <is>
          <t>Greeff</t>
        </is>
      </c>
      <c r="B181" s="14" t="inlineStr">
        <is>
          <t>False</t>
        </is>
      </c>
      <c r="C181" s="14" t="inlineStr">
        <is>
          <t>2025-09-30 09:16:54Z</t>
        </is>
      </c>
      <c r="D181" s="14" t="inlineStr">
        <is>
          <t>False</t>
        </is>
      </c>
    </row>
    <row r="182">
      <c r="A182" s="14" t="inlineStr">
        <is>
          <t>Hlomuka</t>
        </is>
      </c>
      <c r="B182" s="14" t="inlineStr">
        <is>
          <t>False</t>
        </is>
      </c>
      <c r="C182" s="14" t="inlineStr">
        <is>
          <t>2022-03-31 08:04:29Z</t>
        </is>
      </c>
      <c r="D182" s="14" t="inlineStr">
        <is>
          <t>False</t>
        </is>
      </c>
    </row>
    <row r="183">
      <c r="A183" s="14" t="inlineStr">
        <is>
          <t>Hough</t>
        </is>
      </c>
      <c r="B183" s="14" t="inlineStr">
        <is>
          <t>False</t>
        </is>
      </c>
      <c r="C183" s="14" t="inlineStr">
        <is>
          <t>2024-02-29 14:28:39Z</t>
        </is>
      </c>
      <c r="D183" s="14" t="inlineStr">
        <is>
          <t>False</t>
        </is>
      </c>
    </row>
    <row r="184">
      <c r="A184" s="14" t="inlineStr">
        <is>
          <t>Jacobs</t>
        </is>
      </c>
      <c r="B184" s="14" t="inlineStr">
        <is>
          <t>False</t>
        </is>
      </c>
      <c r="C184" s="14" t="inlineStr">
        <is>
          <t>2024-08-27 14:03:11Z</t>
        </is>
      </c>
      <c r="D184" s="14" t="inlineStr">
        <is>
          <t>True</t>
        </is>
      </c>
    </row>
    <row r="185">
      <c r="A185" s="14" t="inlineStr">
        <is>
          <t>Jacobs</t>
        </is>
      </c>
      <c r="B185" s="14" t="inlineStr">
        <is>
          <t>False</t>
        </is>
      </c>
      <c r="C185" s="14" t="inlineStr">
        <is>
          <t>2025-09-30 09:16:29Z</t>
        </is>
      </c>
      <c r="D185" s="14" t="inlineStr">
        <is>
          <t>True</t>
        </is>
      </c>
    </row>
    <row r="186">
      <c r="A186" s="14" t="inlineStr">
        <is>
          <t>Jansen</t>
        </is>
      </c>
      <c r="B186" s="14" t="inlineStr">
        <is>
          <t>False</t>
        </is>
      </c>
      <c r="C186" s="14" t="inlineStr">
        <is>
          <t>2022-12-13 09:44:38Z</t>
        </is>
      </c>
      <c r="D186" s="14" t="inlineStr">
        <is>
          <t>False</t>
        </is>
      </c>
    </row>
    <row r="187">
      <c r="A187" s="14" t="inlineStr">
        <is>
          <t>Khoza</t>
        </is>
      </c>
      <c r="B187" s="14" t="inlineStr">
        <is>
          <t>False</t>
        </is>
      </c>
      <c r="C187" s="14" t="inlineStr">
        <is>
          <t>2022-12-13 09:42:20Z</t>
        </is>
      </c>
      <c r="D187" s="14" t="inlineStr">
        <is>
          <t>False</t>
        </is>
      </c>
    </row>
    <row r="188">
      <c r="A188" s="14" t="inlineStr">
        <is>
          <t>Mahlangu</t>
        </is>
      </c>
      <c r="B188" s="14" t="inlineStr">
        <is>
          <t>False</t>
        </is>
      </c>
      <c r="C188" s="14" t="inlineStr">
        <is>
          <t>2022-06-03 10:36:21Z</t>
        </is>
      </c>
      <c r="D188" s="14" t="inlineStr">
        <is>
          <t>False</t>
        </is>
      </c>
    </row>
    <row r="189">
      <c r="A189" s="3" t="inlineStr">
        <is>
          <t>... and 34 more (see source CSV for full list)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16"/>
  <autoFilter ref="A4:K18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C00000"/>
    <outlinePr summaryBelow="1" summaryRight="1"/>
    <pageSetUpPr/>
  </sheetPr>
  <dimension ref="A1:I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26" customWidth="1" min="3" max="3"/>
    <col width="18" customWidth="1" min="4" max="4"/>
    <col width="27" customWidth="1" min="5" max="5"/>
    <col width="28" customWidth="1" min="6" max="6"/>
    <col width="35" customWidth="1" min="7" max="7"/>
    <col width="55" customWidth="1" min="8" max="8"/>
    <col width="9" customWidth="1" min="9" max="9"/>
  </cols>
  <sheetData>
    <row r="1">
      <c r="A1" s="1" t="inlineStr">
        <is>
          <t>COITE Licence Discrepancy Query — INV-0303</t>
        </is>
      </c>
    </row>
    <row r="2">
      <c r="A2" s="3" t="inlineStr">
        <is>
          <t>Discrepancies between COITE invoice quantities and Microsoft Admin Centre tenant data. Raise with COITE for resolution.</t>
        </is>
      </c>
    </row>
    <row r="3">
      <c r="A3" s="49" t="inlineStr">
        <is>
          <t>Both the original admin export and the CSV snapshot (30 Mar 2026) show IDENTICAL user counts — the mismatch is between COITE billing and the actual tenant.</t>
        </is>
      </c>
    </row>
    <row r="4"/>
    <row r="5">
      <c r="A5" s="13" t="inlineStr">
        <is>
          <t>#</t>
        </is>
      </c>
      <c r="B5" s="13" t="inlineStr">
        <is>
          <t>SKU</t>
        </is>
      </c>
      <c r="C5" s="13" t="inlineStr">
        <is>
          <t>Invoice Qty (Purchased)</t>
        </is>
      </c>
      <c r="D5" s="13" t="inlineStr">
        <is>
          <t>Tenant Assigned</t>
        </is>
      </c>
      <c r="E5" s="13" t="inlineStr">
        <is>
          <t>Purchased but Unassigned</t>
        </is>
      </c>
      <c r="F5" s="13" t="inlineStr">
        <is>
          <t>Unit Price (ZAR excl VAT)</t>
        </is>
      </c>
      <c r="G5" s="13" t="inlineStr">
        <is>
          <t>Monthly Cost of Unassigned (ZAR)</t>
        </is>
      </c>
      <c r="H5" s="13" t="inlineStr">
        <is>
          <t>Query / Action</t>
        </is>
      </c>
      <c r="I5" s="13" t="inlineStr">
        <is>
          <t>Status</t>
        </is>
      </c>
    </row>
    <row r="6">
      <c r="A6" s="15" t="n">
        <v>1</v>
      </c>
      <c r="B6" s="15" t="inlineStr">
        <is>
          <t>Microsoft 365 Business Premium</t>
        </is>
      </c>
      <c r="C6" s="15" t="n">
        <v>23</v>
      </c>
      <c r="D6" s="15" t="n">
        <v>21</v>
      </c>
      <c r="E6" s="50" t="n">
        <v>2</v>
      </c>
      <c r="F6" s="40" t="n">
        <v>368.6799999999999</v>
      </c>
      <c r="G6" s="51" t="n">
        <v>737.3599999999999</v>
      </c>
      <c r="H6" s="15" t="inlineStr">
        <is>
          <t>Invoice bills 2 licence(s) not assigned in tenant. Are these reserved/pending? If not needed, reduce subscription count to save R737.36/month.</t>
        </is>
      </c>
      <c r="I6" s="52" t="inlineStr">
        <is>
          <t>OPEN</t>
        </is>
      </c>
    </row>
    <row r="7">
      <c r="A7" s="16" t="n">
        <v>2</v>
      </c>
      <c r="B7" s="16" t="inlineStr">
        <is>
          <t>Microsoft 365 Business Standard</t>
        </is>
      </c>
      <c r="C7" s="16" t="n">
        <v>97</v>
      </c>
      <c r="D7" s="16" t="n">
        <v>100</v>
      </c>
      <c r="E7" s="53" t="n">
        <v>-3</v>
      </c>
      <c r="F7" s="41" t="n">
        <v>209.55</v>
      </c>
      <c r="G7" s="41" t="n">
        <v>0</v>
      </c>
      <c r="H7" s="16" t="inlineStr">
        <is>
          <t>Tenant has 3 more user(s) assigned than invoiced. Were these added after the billing date? Expect them on next invoice.</t>
        </is>
      </c>
      <c r="I7" s="52" t="inlineStr">
        <is>
          <t>OPEN</t>
        </is>
      </c>
    </row>
    <row r="8">
      <c r="A8" s="15" t="n">
        <v>3</v>
      </c>
      <c r="B8" s="15" t="inlineStr">
        <is>
          <t>Microsoft 365 E3</t>
        </is>
      </c>
      <c r="C8" s="15" t="n">
        <v>15</v>
      </c>
      <c r="D8" s="15" t="n">
        <v>14</v>
      </c>
      <c r="E8" s="50" t="n">
        <v>1</v>
      </c>
      <c r="F8" s="40" t="n">
        <v>603.2900000000001</v>
      </c>
      <c r="G8" s="51" t="n">
        <v>603.2900000000001</v>
      </c>
      <c r="H8" s="15" t="inlineStr">
        <is>
          <t>Invoice bills 1 licence(s) not assigned in tenant. Are these reserved/pending? If not needed, reduce subscription count to save R603.29/month.</t>
        </is>
      </c>
      <c r="I8" s="52" t="inlineStr">
        <is>
          <t>OPEN</t>
        </is>
      </c>
    </row>
    <row r="9">
      <c r="A9" s="15" t="n">
        <v>4</v>
      </c>
      <c r="B9" s="15" t="inlineStr">
        <is>
          <t>Power Apps per app plan (1 app or website)</t>
        </is>
      </c>
      <c r="C9" s="15" t="n">
        <v>3</v>
      </c>
      <c r="D9" s="15" t="n">
        <v>0</v>
      </c>
      <c r="E9" s="50" t="n">
        <v>3</v>
      </c>
      <c r="F9" s="40" t="n">
        <v>83.79000000000001</v>
      </c>
      <c r="G9" s="51" t="n">
        <v>251.37</v>
      </c>
      <c r="H9" s="15" t="inlineStr">
        <is>
          <t>Billed on invoice (3 licences) but NO users have this SKU in the tenant. Is this a tenant-level subscription or assigned elsewhere? If not needed, cancel to save R251.37/month.</t>
        </is>
      </c>
      <c r="I9" s="52" t="inlineStr">
        <is>
          <t>OPEN</t>
        </is>
      </c>
    </row>
    <row r="10">
      <c r="A10" s="15" t="n">
        <v>5</v>
      </c>
      <c r="B10" s="15" t="inlineStr">
        <is>
          <t>Power BI Premium Per User</t>
        </is>
      </c>
      <c r="C10" s="15" t="n">
        <v>7</v>
      </c>
      <c r="D10" s="15" t="n">
        <v>6</v>
      </c>
      <c r="E10" s="50" t="n">
        <v>1</v>
      </c>
      <c r="F10" s="40" t="n">
        <v>402.19</v>
      </c>
      <c r="G10" s="51" t="n">
        <v>402.19</v>
      </c>
      <c r="H10" s="15" t="inlineStr">
        <is>
          <t>Invoice bills 1 licence(s) not assigned in tenant. Are these reserved/pending? If not needed, reduce subscription count to save R402.19/month.</t>
        </is>
      </c>
      <c r="I10" s="52" t="inlineStr">
        <is>
          <t>OPEN</t>
        </is>
      </c>
    </row>
    <row r="11">
      <c r="A11" s="15" t="n">
        <v>6</v>
      </c>
      <c r="B11" s="15" t="inlineStr">
        <is>
          <t>Adri Ludick Old account (adri.ludick@wearcheckrs.com)</t>
        </is>
      </c>
      <c r="C11" s="15" t="inlineStr">
        <is>
          <t>N/A</t>
        </is>
      </c>
      <c r="D11" s="15" t="inlineStr">
        <is>
          <t>1 user</t>
        </is>
      </c>
      <c r="E11" s="15" t="inlineStr">
        <is>
          <t>N/A</t>
        </is>
      </c>
      <c r="F11" s="15" t="inlineStr">
        <is>
          <t>N/A</t>
        </is>
      </c>
      <c r="G11" s="15" t="inlineStr">
        <is>
          <t>See Licence_Cleanup</t>
        </is>
      </c>
      <c r="H11" s="15" t="inlineStr">
        <is>
          <t>Old/duplicate account still has Business Standard + Defender licences. New account A.Ludick@WearCheckRS.com is active. Remove licences from old account.</t>
        </is>
      </c>
      <c r="I11" s="52" t="inlineStr">
        <is>
          <t>OPEN</t>
        </is>
      </c>
    </row>
    <row r="12"/>
    <row r="13"/>
    <row r="14">
      <c r="A14" s="2" t="inlineStr">
        <is>
          <t>Summary</t>
        </is>
      </c>
    </row>
    <row r="15">
      <c r="A15" s="37" t="inlineStr">
        <is>
          <t>Total queries raised</t>
        </is>
      </c>
      <c r="B15" s="34" t="n">
        <v>6</v>
      </c>
    </row>
    <row r="16">
      <c r="A16" s="42" t="inlineStr">
        <is>
          <t>Total unassigned licence cost (ZAR/month excl VAT)</t>
        </is>
      </c>
      <c r="B16" s="54" t="n">
        <v>1994.21</v>
      </c>
    </row>
    <row r="17">
      <c r="A17" s="55" t="inlineStr">
        <is>
          <t>Data sources verified</t>
        </is>
      </c>
      <c r="B17" s="56" t="inlineStr">
        <is>
          <t>Admin Export + CSV Snapshot (30 Mar 2026) — IDENTICAL counts</t>
        </is>
      </c>
    </row>
    <row r="18">
      <c r="A18" s="37" t="inlineStr">
        <is>
          <t>Invoice reference</t>
        </is>
      </c>
      <c r="B18" s="34" t="inlineStr">
        <is>
          <t>INV-0303</t>
        </is>
      </c>
    </row>
    <row r="19">
      <c r="A19" s="37" t="inlineStr">
        <is>
          <t>Invoice date</t>
        </is>
      </c>
      <c r="B19" s="34" t="inlineStr">
        <is>
          <t>25/03/2026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16"/>
  <autoFilter ref="A5:I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2026-03-30T12:35:30Z</dcterms:created>
  <dcterms:modified xsi:type="dcterms:W3CDTF">2026-03-30T12:35:30Z</dcterms:modified>
</cp:coreProperties>
</file>